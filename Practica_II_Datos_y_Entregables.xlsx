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NVIERSIDADES\MANUELA\PRACTICAS II\proyecto\"/>
    </mc:Choice>
  </mc:AlternateContent>
  <xr:revisionPtr revIDLastSave="0" documentId="13_ncr:1_{A7C1D210-0971-4D3D-8E9A-D505CB1CD754}" xr6:coauthVersionLast="47" xr6:coauthVersionMax="47" xr10:uidLastSave="{00000000-0000-0000-0000-000000000000}"/>
  <bookViews>
    <workbookView xWindow="7860" yWindow="3015" windowWidth="10260" windowHeight="7785" activeTab="1" xr2:uid="{00000000-000D-0000-FFFF-FFFF00000000}"/>
  </bookViews>
  <sheets>
    <sheet name="Leeme" sheetId="1" r:id="rId1"/>
    <sheet name="Plantilla DwC" sheetId="2" r:id="rId2"/>
    <sheet name="Mapeo DwC" sheetId="3" r:id="rId3"/>
    <sheet name="Cambios DwC" sheetId="4" r:id="rId4"/>
    <sheet name="Resumen entregables" sheetId="5" r:id="rId5"/>
    <sheet name="Inventario" sheetId="6" r:id="rId6"/>
    <sheet name="Diccionarios" sheetId="7" r:id="rId7"/>
    <sheet name="Capas documentadas" sheetId="8" r:id="rId8"/>
    <sheet name="Capas en la GDB" sheetId="9" r:id="rId9"/>
    <sheet name="Dicc. Estaciones IDEAM" sheetId="10" r:id="rId10"/>
    <sheet name="Red_Hidrometeorologica" sheetId="11" r:id="rId11"/>
    <sheet name="Cotejo IDEAM" sheetId="12" r:id="rId12"/>
  </sheets>
  <definedNames>
    <definedName name="_xlnm._FilterDatabase" localSheetId="7" hidden="1">'Capas documentadas'!$A$4:$E$170</definedName>
    <definedName name="_xlnm._FilterDatabase" localSheetId="8" hidden="1">'Capas en la GDB'!$A$4:$F$82</definedName>
    <definedName name="_xlnm._FilterDatabase" localSheetId="5" hidden="1">Inventario!$A$4:$E$582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2" l="1"/>
  <c r="B19" i="12"/>
  <c r="B18" i="12"/>
  <c r="E24" i="11"/>
  <c r="C24" i="11"/>
  <c r="F24" i="10"/>
  <c r="C24" i="10"/>
  <c r="B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D22" i="7"/>
  <c r="C22" i="7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0" i="5"/>
  <c r="B10" i="5"/>
  <c r="C9" i="5"/>
  <c r="B9" i="5"/>
  <c r="C8" i="5"/>
  <c r="B8" i="5"/>
  <c r="B5" i="5"/>
  <c r="B4" i="5"/>
  <c r="C25" i="3"/>
  <c r="C24" i="3"/>
  <c r="B86" i="9" l="1"/>
  <c r="B85" i="9"/>
</calcChain>
</file>

<file path=xl/sharedStrings.xml><?xml version="1.0" encoding="utf-8"?>
<sst xmlns="http://schemas.openxmlformats.org/spreadsheetml/2006/main" count="3866" uniqueCount="1669">
  <si>
    <t>Practica Profesional II - Datos y entregables</t>
  </si>
  <si>
    <t>Universidad Manuela Beltran | Proyecto Copiloto Ambiental (Conesa + QGIS)</t>
  </si>
  <si>
    <t>Generado</t>
  </si>
  <si>
    <t>4 de septiembre de 2026</t>
  </si>
  <si>
    <t>Alcance</t>
  </si>
  <si>
    <t>Plantilla de registros biologicos en Darwin Core, y analisis de la carpeta '1. Productos entregados'.</t>
  </si>
  <si>
    <t>Hoja</t>
  </si>
  <si>
    <t>Que contiene</t>
  </si>
  <si>
    <t>De donde salen los datos</t>
  </si>
  <si>
    <t>Plantilla DwC</t>
  </si>
  <si>
    <t>Plantilla para registrar ocurrencias biologicas. Se llena a partir de la fila 6.</t>
  </si>
  <si>
    <t>Estructura de DarwinCore.xlsx, con los terminos corregidos al estandar vigente.</t>
  </si>
  <si>
    <t>Mapeo DwC</t>
  </si>
  <si>
    <t>Cada columna de la plantilla con su termino Darwin Core y su estado actual.</t>
  </si>
  <si>
    <t>Guia SiB Colombia v3.0 (2018), verificada contra rs.tdwg.org/dwc/doc/list/2026-05-26</t>
  </si>
  <si>
    <t>Cambios DwC</t>
  </si>
  <si>
    <t>Diferencias entre la guia de 2018 y el estandar de 2026.</t>
  </si>
  <si>
    <t>Comparacion del PDF de SiB contra el listado normativo de TDWG.</t>
  </si>
  <si>
    <t>Resumen entregables</t>
  </si>
  <si>
    <t>Cifras de la carpeta de productos entregados.</t>
  </si>
  <si>
    <t>Recorrido de la carpeta; las cifras son formulas sobre la hoja Inventario.</t>
  </si>
  <si>
    <t>Inventario</t>
  </si>
  <si>
    <t>Un archivo por fila, con carpeta, extension y peso.</t>
  </si>
  <si>
    <t>1. Productos entregados (recorrido completo).</t>
  </si>
  <si>
    <t>Diccionarios</t>
  </si>
  <si>
    <t>Los 17 diccionarios de datos, con sus capas y campos.</t>
  </si>
  <si>
    <t>DATOS/DICCIONARIO DE DATOS/**/*.xlsx</t>
  </si>
  <si>
    <t>Capas documentadas</t>
  </si>
  <si>
    <t>Cada capa descrita en los diccionarios.</t>
  </si>
  <si>
    <t>Hoja 'CAPAS GEOGRAFICAS' de cada diccionario.</t>
  </si>
  <si>
    <t>Capas en la GDB</t>
  </si>
  <si>
    <t>Las capas que existen de verdad, y si tienen diccionario.</t>
  </si>
  <si>
    <t>Lectura directa de las dos Geodatabases con pyogrio.</t>
  </si>
  <si>
    <t>COMO USAR LA PLANTILLA</t>
  </si>
  <si>
    <t>-</t>
  </si>
  <si>
    <t>Las celdas en amarillo son las que debes llenar. Todo lo demas es referencia.</t>
  </si>
  <si>
    <t>La fila 4 lleva la etiqueta en espanol; la fila 5, el termino Darwin Core.</t>
  </si>
  <si>
    <t>Al publicar en GBIF o SiB Colombia, la cabecera que vale es la fila 5.</t>
  </si>
  <si>
    <t>La fila 6 es un ejemplo con el formato esperado. Borrala antes de entregar.</t>
  </si>
  <si>
    <t>Las coordenadas van en grados decimales, nunca en grados/minutos/segundos.</t>
  </si>
  <si>
    <t>HALLAZGO PRINCIPAL</t>
  </si>
  <si>
    <t>!</t>
  </si>
  <si>
    <t>Los diccionarios de datos entregados NO corresponden a las Geodatabases entregadas. Ver la hoja 'Capas en la GDB'.</t>
  </si>
  <si>
    <t>Plantilla de registros biologicos (Darwin Core)</t>
  </si>
  <si>
    <t>Llena a partir de la fila 6. Fila 4 = etiqueta en espanol | Fila 5 = termino Darwin Core.</t>
  </si>
  <si>
    <t>Nombre de la entidad</t>
  </si>
  <si>
    <t>NIT</t>
  </si>
  <si>
    <t>Numero del permiso de recoleccion</t>
  </si>
  <si>
    <t>Tipo del registro</t>
  </si>
  <si>
    <t>Tipo de la muestra</t>
  </si>
  <si>
    <t>ID del registro biologico</t>
  </si>
  <si>
    <t>Nombre del colector</t>
  </si>
  <si>
    <t>Fecha del evento</t>
  </si>
  <si>
    <t>Pais</t>
  </si>
  <si>
    <t>Departamento</t>
  </si>
  <si>
    <t>Municipio</t>
  </si>
  <si>
    <t>Localidad</t>
  </si>
  <si>
    <t>Latitud decimal</t>
  </si>
  <si>
    <t>Longitud decimal</t>
  </si>
  <si>
    <t>Datum geodesico</t>
  </si>
  <si>
    <t>Elevacion minima en metros</t>
  </si>
  <si>
    <t>Nombre cientifico</t>
  </si>
  <si>
    <t>Categoria del taxon</t>
  </si>
  <si>
    <t>institutionCode</t>
  </si>
  <si>
    <t>(sin termino DwC)</t>
  </si>
  <si>
    <t>basisOfRecord</t>
  </si>
  <si>
    <t>preparations</t>
  </si>
  <si>
    <t>occurrenceID</t>
  </si>
  <si>
    <t>recordedBy</t>
  </si>
  <si>
    <t>eventDate</t>
  </si>
  <si>
    <t>country</t>
  </si>
  <si>
    <t>stateProvince</t>
  </si>
  <si>
    <t>county</t>
  </si>
  <si>
    <t>locality</t>
  </si>
  <si>
    <t>decimalLatitude</t>
  </si>
  <si>
    <t>decimalLongitude</t>
  </si>
  <si>
    <t>geodeticDatum</t>
  </si>
  <si>
    <t>minimumElevationInMeters</t>
  </si>
  <si>
    <t>scientificName</t>
  </si>
  <si>
    <t>taxonRank</t>
  </si>
  <si>
    <t>Corporacion Manantiales</t>
  </si>
  <si>
    <t>900123456-7</t>
  </si>
  <si>
    <t>RES-2026-0123</t>
  </si>
  <si>
    <t>HumanObservation</t>
  </si>
  <si>
    <t>Observacion en campo</t>
  </si>
  <si>
    <t>CM-LEP-2026-001</t>
  </si>
  <si>
    <t>Juan Baldion</t>
  </si>
  <si>
    <t>2026-08-15</t>
  </si>
  <si>
    <t>Colombia</t>
  </si>
  <si>
    <t>Antioquia</t>
  </si>
  <si>
    <t>San Carlos</t>
  </si>
  <si>
    <t>Vereda El Jordan, sendero al mirador</t>
  </si>
  <si>
    <t>WGS84</t>
  </si>
  <si>
    <t>Morpho helenor (Cramer, 1775)</t>
  </si>
  <si>
    <t>species</t>
  </si>
  <si>
    <t>Correspondencia con Darwin Core</t>
  </si>
  <si>
    <t>Estado verificado contra el listado normativo de TDWG del 2026-05-26.</t>
  </si>
  <si>
    <t>#</t>
  </si>
  <si>
    <t>Columna de la plantilla</t>
  </si>
  <si>
    <t>Termino Darwin Core</t>
  </si>
  <si>
    <t>Estado en 2026</t>
  </si>
  <si>
    <t>Nota</t>
  </si>
  <si>
    <t>Vigente (dwc:)</t>
  </si>
  <si>
    <t>Codigo o nombre de la institucion que custodia el registro.</t>
  </si>
  <si>
    <t>Sin termino Darwin Core</t>
  </si>
  <si>
    <t>Campo administrativo colombiano. La guia de SiB lo menciona solo como practica recomendada para documentar la institucion.</t>
  </si>
  <si>
    <t>Campo del tramite ambiental colombiano. No existe en el vocabulario.</t>
  </si>
  <si>
    <t>Naturaleza del registro: PreservedSpecimen, HumanObservation, etc.</t>
  </si>
  <si>
    <t>Metodo de preparacion o conservacion de la muestra.</t>
  </si>
  <si>
    <t>Identificador unico y persistente del registro.</t>
  </si>
  <si>
    <t>Persona que realizo la recoleccion u observacion.</t>
  </si>
  <si>
    <t>Fecha del registro en formato ISO 8601 (AAAA-MM-DD).</t>
  </si>
  <si>
    <t>Nombre del pais sin abreviar.</t>
  </si>
  <si>
    <t>Primera division administrativa. En Colombia, el departamento.</t>
  </si>
  <si>
    <t>ATENCION: la guia de SiB mapea el municipio colombiano a 'county'. 'municipality' queda reservado para la cabecera municipal.</t>
  </si>
  <si>
    <t>Descripcion textual del sitio especifico.</t>
  </si>
  <si>
    <t>Grados decimales, positivo al norte. Ejemplo: 6.18720</t>
  </si>
  <si>
    <t>Grados decimales, negativo al oeste. Ejemplo: -74.99220</t>
  </si>
  <si>
    <t>Sistema de referencia. Lo habitual es WGS84 (EPSG:4326).</t>
  </si>
  <si>
    <t>Altitud inferior del rango, en metros.</t>
  </si>
  <si>
    <t>Nombre cientifico completo, con autor si se conoce.</t>
  </si>
  <si>
    <t>Rango del nombre cientifico: species, genus, family...</t>
  </si>
  <si>
    <t>Columnas con termino Darwin Core</t>
  </si>
  <si>
    <t>Columnas sin equivalente en el vocabulario</t>
  </si>
  <si>
    <t>Guia SiB Colombia 2018 frente al estandar 2026</t>
  </si>
  <si>
    <t>PDF 'Elementos DwC: una guia de referencia rapida', v3.0 junio 2018.</t>
  </si>
  <si>
    <t>Tipo de diferencia</t>
  </si>
  <si>
    <t>En la guia 2018</t>
  </si>
  <si>
    <t>En el estandar 2026</t>
  </si>
  <si>
    <t>Explicacion</t>
  </si>
  <si>
    <t>Termino sustituido</t>
  </si>
  <si>
    <t>individualID</t>
  </si>
  <si>
    <t>organismID</t>
  </si>
  <si>
    <t>La guia 2018 lo documenta como 'ID del Individuo'. El estandar actual lo declara reemplazado ('Is Replaced By'). 'organismID' no aparece en la guia.</t>
  </si>
  <si>
    <t>Nombre inexistente hoy</t>
  </si>
  <si>
    <t>samplingSizeValue</t>
  </si>
  <si>
    <t>sampleSizeValue</t>
  </si>
  <si>
    <t>La guia usa 'samplingSize...'. Ese nombre no existe en el estandar; probablemente sea una errata de la traduccion.</t>
  </si>
  <si>
    <t>samplingSizeUnit</t>
  </si>
  <si>
    <t>sampleSizeUnit</t>
  </si>
  <si>
    <t>Mismo caso que el anterior.</t>
  </si>
  <si>
    <t>georeferenceDate</t>
  </si>
  <si>
    <t>georeferencedDate</t>
  </si>
  <si>
    <t>El estandar lo escribe con 'd': georeferencedDate.</t>
  </si>
  <si>
    <t>Otro espacio de nombres</t>
  </si>
  <si>
    <t>accessRights</t>
  </si>
  <si>
    <t>dcterms:accessRights</t>
  </si>
  <si>
    <t>Pertenece a Dublin Core, no a Darwin Core. Sigue siendo valido, pero la guia no menciona el prefijo dcterms.</t>
  </si>
  <si>
    <t>rightsHolder</t>
  </si>
  <si>
    <t>dcterms:rightsHolder</t>
  </si>
  <si>
    <t>Igual que el anterior: es Dublin Core.</t>
  </si>
  <si>
    <t>bibliographicCitation</t>
  </si>
  <si>
    <t>dcterms:bibliographicCitation</t>
  </si>
  <si>
    <t>Contexto</t>
  </si>
  <si>
    <t>El estandar sumo 161 terminos que no estan en la guia de 2018, casi todos de clases nuevas: MaterialEntity, Organism, Event, MolecularProtocol, NucleotideSequence, OrganismInteraction.</t>
  </si>
  <si>
    <t>En total hay 61 terminos sustituidos en el vocabulario. La guia documenta uno.</t>
  </si>
  <si>
    <t>Ninguno de los terminos que usa el sistema del proyecto esta sustituido: se verificaron los 24 nombres de columna que autodetecta core/catalogo.py.</t>
  </si>
  <si>
    <t>Resumen de la carpeta de entregables</t>
  </si>
  <si>
    <t>Todas las cifras son formulas sobre la hoja 'Inventario'.</t>
  </si>
  <si>
    <t>Archivos totales</t>
  </si>
  <si>
    <t>Peso total (MB)</t>
  </si>
  <si>
    <t>Carpeta de primer nivel</t>
  </si>
  <si>
    <t>Archivos</t>
  </si>
  <si>
    <t>Peso (MB)</t>
  </si>
  <si>
    <t>Que es</t>
  </si>
  <si>
    <t>DATOS</t>
  </si>
  <si>
    <t>Geodatabases del POMCA y los 17 diccionarios de datos. Es el insumo real del proyecto.</t>
  </si>
  <si>
    <t>QGIS 3.34.8</t>
  </si>
  <si>
    <t>Instalador de QGIS y accesos directos. Es software, no un producto de la practica: pesa mas que todos los datos juntos.</t>
  </si>
  <si>
    <t>(raiz)</t>
  </si>
  <si>
    <t>Scripts de Python, el documento de la practica y las notas de avance.</t>
  </si>
  <si>
    <t>Extension</t>
  </si>
  <si>
    <t>Que son</t>
  </si>
  <si>
    <t>.gdbtable</t>
  </si>
  <si>
    <t>Tablas internas de las Geodatabases de ESRI.</t>
  </si>
  <si>
    <t>.xlsx</t>
  </si>
  <si>
    <t>Los 17 diccionarios de datos.</t>
  </si>
  <si>
    <t>.msi</t>
  </si>
  <si>
    <t>Instalador de QGIS.</t>
  </si>
  <si>
    <t>.py</t>
  </si>
  <si>
    <t>Scripts de la practica.</t>
  </si>
  <si>
    <t>.docx</t>
  </si>
  <si>
    <t>Documento de la practica.</t>
  </si>
  <si>
    <t>.md</t>
  </si>
  <si>
    <t>Notas y reportes de avance.</t>
  </si>
  <si>
    <t>.rar</t>
  </si>
  <si>
    <t>Copias comprimidas de DATOS.</t>
  </si>
  <si>
    <t>Inventario de '1. Productos entregados'</t>
  </si>
  <si>
    <t>Un archivo por fila. Se excluyen los temporales de Excel (~$).</t>
  </si>
  <si>
    <t>Carpeta</t>
  </si>
  <si>
    <t>Archivo</t>
  </si>
  <si>
    <t>Bytes</t>
  </si>
  <si>
    <t>Ruta relativa</t>
  </si>
  <si>
    <t>configurar_mapa_qgis.py</t>
  </si>
  <si>
    <t>departamento de antioquia.py</t>
  </si>
  <si>
    <t>ejemplo_carga_datos.py</t>
  </si>
  <si>
    <t>fuentes_informacion_enlaces.md</t>
  </si>
  <si>
    <t>impactos.py</t>
  </si>
  <si>
    <t>impactos_corregido.py</t>
  </si>
  <si>
    <t>PHYTON PARA REDABC.txt</t>
  </si>
  <si>
    <t>.txt</t>
  </si>
  <si>
    <t>Phyton RED ABS</t>
  </si>
  <si>
    <t>(sin extension)</t>
  </si>
  <si>
    <t>plan_implementacion_agente.md</t>
  </si>
  <si>
    <t>PRACTICA HASTA DISEÑO - SUBIR (6).docx</t>
  </si>
  <si>
    <t>reporte_ejecucion_impactos.md</t>
  </si>
  <si>
    <t>DICCIONARIO DE DATOS.rar</t>
  </si>
  <si>
    <t>DATOS/DICCIONARIO DE DATOS.rar</t>
  </si>
  <si>
    <t>GDB_POMCA_INTERSECCION.rar</t>
  </si>
  <si>
    <t>DATOS/GDB_POMCA_INTERSECCION.rar</t>
  </si>
  <si>
    <t>DICCIONARIO COMPONENTE ECOSISTÉMICO.xlsx</t>
  </si>
  <si>
    <t>DATOS/DICCIONARIO DE DATOS/ACOTAMIENTO/Componente ECOSISTÉMICO/DICCIONARIO COMPONENTE ECOSISTÉMICO.xlsx</t>
  </si>
  <si>
    <t>DICCIONARIO COMPONENTE GEOMORFOLOGÍA.xlsx</t>
  </si>
  <si>
    <t>DATOS/DICCIONARIO DE DATOS/ACOTAMIENTO/Componente GEOMORFOLÓGICO/DICCIONARIO COMPONENTE GEOMORFOLOGÍA.xlsx</t>
  </si>
  <si>
    <t>DICCIONARIO COMPONENTE HIDROLÓGICO.xlsx</t>
  </si>
  <si>
    <t>DATOS/DICCIONARIO DE DATOS/ACOTAMIENTO/Componente HIDROLÓGICO/DICCIONARIO COMPONENTE HIDROLÓGICO.xlsx</t>
  </si>
  <si>
    <t>DICCIONARIO COMPONENTE SOCIOECONÓMICO.xlsx</t>
  </si>
  <si>
    <t>DATOS/DICCIONARIO DE DATOS/ACOTAMIENTO/Componente SOCIOECONÓMICO/DICCIONARIO COMPONENTE SOCIOECONÓMICO.xlsx</t>
  </si>
  <si>
    <t>DICCIONARIO LÍMITE FÍSICO.xlsx</t>
  </si>
  <si>
    <t>DATOS/DICCIONARIO DE DATOS/ACOTAMIENTO/LÍMITE FÍSICO/DICCIONARIO LÍMITE FÍSICO.xlsx</t>
  </si>
  <si>
    <t>DICCIONARIO DE DATOS CARTOGRAFÍA BASE.xlsx</t>
  </si>
  <si>
    <t>DATOS/DICCIONARIO DE DATOS/CARTOGRAFÍA BASE/DICCIONARIO DE DATOS CARTOGRAFÍA BASE.xlsx</t>
  </si>
  <si>
    <t>DICCIONARIO CLIMA.xlsx</t>
  </si>
  <si>
    <t>DATOS/DICCIONARIO DE DATOS/LÍNEA BASE/Componente CLIMA/DICCIONARIO CLIMA.xlsx</t>
  </si>
  <si>
    <t>DICCIONARIO COBERTURA.xlsx</t>
  </si>
  <si>
    <t>DATOS/DICCIONARIO DE DATOS/LÍNEA BASE/Componente COBERTURA/DICCIONARIO COBERTURA.xlsx</t>
  </si>
  <si>
    <t>DICCIONARIO GEOLOGÍA.xlsx</t>
  </si>
  <si>
    <t>DATOS/DICCIONARIO DE DATOS/LÍNEA BASE/Componente GEOLOGÍA/DICCIONARIO GEOLOGÍA.xlsx</t>
  </si>
  <si>
    <t>DICCIONARIO GEOMORFOLOGÍA.xlsx</t>
  </si>
  <si>
    <t>DATOS/DICCIONARIO DE DATOS/LÍNEA BASE/Componente GEOMORFOLOGÍA/DICCIONARIO GEOMORFOLOGÍA.xlsx</t>
  </si>
  <si>
    <t>DICCIONARIO SUELOS.xlsx</t>
  </si>
  <si>
    <t>DATOS/DICCIONARIO DE DATOS/LÍNEA BASE/Componente SUELOS/DICCIONARIO SUELOS.xlsx</t>
  </si>
  <si>
    <t>DICCIONARIO AGUA.xlsx</t>
  </si>
  <si>
    <t>DATOS/DICCIONARIO DE DATOS/ORDENAMIENTO HÍDRICO/Componente AGUA/DICCIONARIO AGUA.xlsx</t>
  </si>
  <si>
    <t>DICCIONARIO BIODIVERSIDAD.xlsx</t>
  </si>
  <si>
    <t>DATOS/DICCIONARIO DE DATOS/ORDENAMIENTO HÍDRICO/Componente BIODIVERSIDAD/DICCIONARIO BIODIVERSIDAD.xlsx</t>
  </si>
  <si>
    <t>DATOS/DICCIONARIO DE DATOS/ORDENAMIENTO HÍDRICO/Componente CLIMA/DICCIONARIO CLIMA.xlsx</t>
  </si>
  <si>
    <t>DATOS/DICCIONARIO DE DATOS/ORDENAMIENTO HÍDRICO/Componente GEOMORFOLOGÍA/DICCIONARIO GEOMORFOLOGÍA.xlsx</t>
  </si>
  <si>
    <t>DICCIONARIO COMPONENTE SOCIAL.xlsx</t>
  </si>
  <si>
    <t>DATOS/DICCIONARIO DE DATOS/ORDENAMIENTO HÍDRICO/Componente SOCIAL/DICCIONARIO COMPONENTE SOCIAL.xlsx</t>
  </si>
  <si>
    <t>DATOS/DICCIONARIO DE DATOS/ORDENAMIENTO HÍDRICO/Componente SUELOS/DICCIONARIO SUELOS.xlsx</t>
  </si>
  <si>
    <t>DATOS/GDB_POMCA_INTERSECCION/DICCIONARIO DE DATOS.rar</t>
  </si>
  <si>
    <t>a00000001.gdbindexes</t>
  </si>
  <si>
    <t>.gdbindexes</t>
  </si>
  <si>
    <t>DATOS/GDB_POMCA_INTERSECCION/GDB_POMCA_INTERSECCION.gdb/GDB_OFICIAL_IGAC_INTERSECT.gdb/a00000001.gdbindexes</t>
  </si>
  <si>
    <t>a00000001.gdbtable</t>
  </si>
  <si>
    <t>DATOS/GDB_POMCA_INTERSECCION/GDB_POMCA_INTERSECCION.gdb/GDB_OFICIAL_IGAC_INTERSECT.gdb/a00000001.gdbtable</t>
  </si>
  <si>
    <t>a00000001.gdbtablx</t>
  </si>
  <si>
    <t>.gdbtablx</t>
  </si>
  <si>
    <t>DATOS/GDB_POMCA_INTERSECCION/GDB_POMCA_INTERSECCION.gdb/GDB_OFICIAL_IGAC_INTERSECT.gdb/a00000001.gdbtablx</t>
  </si>
  <si>
    <t>a00000001.TablesByName.atx</t>
  </si>
  <si>
    <t>.atx</t>
  </si>
  <si>
    <t>DATOS/GDB_POMCA_INTERSECCION/GDB_POMCA_INTERSECCION.gdb/GDB_OFICIAL_IGAC_INTERSECT.gdb/a00000001.TablesByName.atx</t>
  </si>
  <si>
    <t>a00000002.gdbtable</t>
  </si>
  <si>
    <t>DATOS/GDB_POMCA_INTERSECCION/GDB_POMCA_INTERSECCION.gdb/GDB_OFICIAL_IGAC_INTERSECT.gdb/a00000002.gdbtable</t>
  </si>
  <si>
    <t>a00000002.gdbtablx</t>
  </si>
  <si>
    <t>DATOS/GDB_POMCA_INTERSECCION/GDB_POMCA_INTERSECCION.gdb/GDB_OFICIAL_IGAC_INTERSECT.gdb/a00000002.gdbtablx</t>
  </si>
  <si>
    <t>a00000003.gdbindexes</t>
  </si>
  <si>
    <t>DATOS/GDB_POMCA_INTERSECCION/GDB_POMCA_INTERSECCION.gdb/GDB_OFICIAL_IGAC_INTERSECT.gdb/a00000003.gdbindexes</t>
  </si>
  <si>
    <t>a00000003.gdbtable</t>
  </si>
  <si>
    <t>DATOS/GDB_POMCA_INTERSECCION/GDB_POMCA_INTERSECCION.gdb/GDB_OFICIAL_IGAC_INTERSECT.gdb/a00000003.gdbtable</t>
  </si>
  <si>
    <t>a00000003.gdbtablx</t>
  </si>
  <si>
    <t>DATOS/GDB_POMCA_INTERSECCION/GDB_POMCA_INTERSECCION.gdb/GDB_OFICIAL_IGAC_INTERSECT.gdb/a00000003.gdbtablx</t>
  </si>
  <si>
    <t>a00000004.CatItemsByPhysicalName.atx</t>
  </si>
  <si>
    <t>DATOS/GDB_POMCA_INTERSECCION/GDB_POMCA_INTERSECCION.gdb/GDB_OFICIAL_IGAC_INTERSECT.gdb/a00000004.CatItemsByPhysicalName.atx</t>
  </si>
  <si>
    <t>a00000004.CatItemsByType.atx</t>
  </si>
  <si>
    <t>DATOS/GDB_POMCA_INTERSECCION/GDB_POMCA_INTERSECCION.gdb/GDB_OFICIAL_IGAC_INTERSECT.gdb/a00000004.CatItemsByType.atx</t>
  </si>
  <si>
    <t>a00000004.FDO_UUID.atx</t>
  </si>
  <si>
    <t>DATOS/GDB_POMCA_INTERSECCION/GDB_POMCA_INTERSECCION.gdb/GDB_OFICIAL_IGAC_INTERSECT.gdb/a00000004.FDO_UUID.atx</t>
  </si>
  <si>
    <t>a00000004.freelist</t>
  </si>
  <si>
    <t>.freelist</t>
  </si>
  <si>
    <t>DATOS/GDB_POMCA_INTERSECCION/GDB_POMCA_INTERSECCION.gdb/GDB_OFICIAL_IGAC_INTERSECT.gdb/a00000004.freelist</t>
  </si>
  <si>
    <t>a00000004.gdbindexes</t>
  </si>
  <si>
    <t>DATOS/GDB_POMCA_INTERSECCION/GDB_POMCA_INTERSECCION.gdb/GDB_OFICIAL_IGAC_INTERSECT.gdb/a00000004.gdbindexes</t>
  </si>
  <si>
    <t>a00000004.gdbtable</t>
  </si>
  <si>
    <t>DATOS/GDB_POMCA_INTERSECCION/GDB_POMCA_INTERSECCION.gdb/GDB_OFICIAL_IGAC_INTERSECT.gdb/a00000004.gdbtable</t>
  </si>
  <si>
    <t>a00000004.gdbtablx</t>
  </si>
  <si>
    <t>DATOS/GDB_POMCA_INTERSECCION/GDB_POMCA_INTERSECCION.gdb/GDB_OFICIAL_IGAC_INTERSECT.gdb/a00000004.gdbtablx</t>
  </si>
  <si>
    <t>a00000004.horizon</t>
  </si>
  <si>
    <t>.horizon</t>
  </si>
  <si>
    <t>DATOS/GDB_POMCA_INTERSECCION/GDB_POMCA_INTERSECCION.gdb/GDB_OFICIAL_IGAC_INTERSECT.gdb/a00000004.horizon</t>
  </si>
  <si>
    <t>a00000004.spx</t>
  </si>
  <si>
    <t>.spx</t>
  </si>
  <si>
    <t>DATOS/GDB_POMCA_INTERSECCION/GDB_POMCA_INTERSECCION.gdb/GDB_OFICIAL_IGAC_INTERSECT.gdb/a00000004.spx</t>
  </si>
  <si>
    <t>a00000005.CatItemTypesByName.atx</t>
  </si>
  <si>
    <t>DATOS/GDB_POMCA_INTERSECCION/GDB_POMCA_INTERSECCION.gdb/GDB_OFICIAL_IGAC_INTERSECT.gdb/a00000005.CatItemTypesByName.atx</t>
  </si>
  <si>
    <t>a00000005.CatItemTypesByParentTypeID.atx</t>
  </si>
  <si>
    <t>DATOS/GDB_POMCA_INTERSECCION/GDB_POMCA_INTERSECCION.gdb/GDB_OFICIAL_IGAC_INTERSECT.gdb/a00000005.CatItemTypesByParentTypeID.atx</t>
  </si>
  <si>
    <t>a00000005.CatItemTypesByUUID.atx</t>
  </si>
  <si>
    <t>DATOS/GDB_POMCA_INTERSECCION/GDB_POMCA_INTERSECCION.gdb/GDB_OFICIAL_IGAC_INTERSECT.gdb/a00000005.CatItemTypesByUUID.atx</t>
  </si>
  <si>
    <t>a00000005.gdbindexes</t>
  </si>
  <si>
    <t>DATOS/GDB_POMCA_INTERSECCION/GDB_POMCA_INTERSECCION.gdb/GDB_OFICIAL_IGAC_INTERSECT.gdb/a00000005.gdbindexes</t>
  </si>
  <si>
    <t>a00000005.gdbtable</t>
  </si>
  <si>
    <t>DATOS/GDB_POMCA_INTERSECCION/GDB_POMCA_INTERSECCION.gdb/GDB_OFICIAL_IGAC_INTERSECT.gdb/a00000005.gdbtable</t>
  </si>
  <si>
    <t>a00000005.gdbtablx</t>
  </si>
  <si>
    <t>DATOS/GDB_POMCA_INTERSECCION/GDB_POMCA_INTERSECCION.gdb/GDB_OFICIAL_IGAC_INTERSECT.gdb/a00000005.gdbtablx</t>
  </si>
  <si>
    <t>a00000006.CatRelsByDestinationID.atx</t>
  </si>
  <si>
    <t>DATOS/GDB_POMCA_INTERSECCION/GDB_POMCA_INTERSECCION.gdb/GDB_OFICIAL_IGAC_INTERSECT.gdb/a00000006.CatRelsByDestinationID.atx</t>
  </si>
  <si>
    <t>a00000006.CatRelsByOriginID.atx</t>
  </si>
  <si>
    <t>DATOS/GDB_POMCA_INTERSECCION/GDB_POMCA_INTERSECCION.gdb/GDB_OFICIAL_IGAC_INTERSECT.gdb/a00000006.CatRelsByOriginID.atx</t>
  </si>
  <si>
    <t>a00000006.CatRelsByType.atx</t>
  </si>
  <si>
    <t>DATOS/GDB_POMCA_INTERSECCION/GDB_POMCA_INTERSECCION.gdb/GDB_OFICIAL_IGAC_INTERSECT.gdb/a00000006.CatRelsByType.atx</t>
  </si>
  <si>
    <t>a00000006.FDO_UUID.atx</t>
  </si>
  <si>
    <t>DATOS/GDB_POMCA_INTERSECCION/GDB_POMCA_INTERSECCION.gdb/GDB_OFICIAL_IGAC_INTERSECT.gdb/a00000006.FDO_UUID.atx</t>
  </si>
  <si>
    <t>a00000006.gdbindexes</t>
  </si>
  <si>
    <t>DATOS/GDB_POMCA_INTERSECCION/GDB_POMCA_INTERSECCION.gdb/GDB_OFICIAL_IGAC_INTERSECT.gdb/a00000006.gdbindexes</t>
  </si>
  <si>
    <t>a00000006.gdbtable</t>
  </si>
  <si>
    <t>DATOS/GDB_POMCA_INTERSECCION/GDB_POMCA_INTERSECCION.gdb/GDB_OFICIAL_IGAC_INTERSECT.gdb/a00000006.gdbtable</t>
  </si>
  <si>
    <t>a00000006.gdbtablx</t>
  </si>
  <si>
    <t>DATOS/GDB_POMCA_INTERSECCION/GDB_POMCA_INTERSECCION.gdb/GDB_OFICIAL_IGAC_INTERSECT.gdb/a00000006.gdbtablx</t>
  </si>
  <si>
    <t>a00000007.CatRelTypesByBackwardLabel.atx</t>
  </si>
  <si>
    <t>DATOS/GDB_POMCA_INTERSECCION/GDB_POMCA_INTERSECCION.gdb/GDB_OFICIAL_IGAC_INTERSECT.gdb/a00000007.CatRelTypesByBackwardLabel.atx</t>
  </si>
  <si>
    <t>a00000007.CatRelTypesByDestItemTypeID.atx</t>
  </si>
  <si>
    <t>DATOS/GDB_POMCA_INTERSECCION/GDB_POMCA_INTERSECCION.gdb/GDB_OFICIAL_IGAC_INTERSECT.gdb/a00000007.CatRelTypesByDestItemTypeID.atx</t>
  </si>
  <si>
    <t>a00000007.CatRelTypesByForwardLabel.atx</t>
  </si>
  <si>
    <t>DATOS/GDB_POMCA_INTERSECCION/GDB_POMCA_INTERSECCION.gdb/GDB_OFICIAL_IGAC_INTERSECT.gdb/a00000007.CatRelTypesByForwardLabel.atx</t>
  </si>
  <si>
    <t>a00000007.CatRelTypesByName.atx</t>
  </si>
  <si>
    <t>DATOS/GDB_POMCA_INTERSECCION/GDB_POMCA_INTERSECCION.gdb/GDB_OFICIAL_IGAC_INTERSECT.gdb/a00000007.CatRelTypesByName.atx</t>
  </si>
  <si>
    <t>a00000007.CatRelTypesByOriginItemTypeID.atx</t>
  </si>
  <si>
    <t>DATOS/GDB_POMCA_INTERSECCION/GDB_POMCA_INTERSECCION.gdb/GDB_OFICIAL_IGAC_INTERSECT.gdb/a00000007.CatRelTypesByOriginItemTypeID.atx</t>
  </si>
  <si>
    <t>a00000007.CatRelTypesByUUID.atx</t>
  </si>
  <si>
    <t>DATOS/GDB_POMCA_INTERSECCION/GDB_POMCA_INTERSECCION.gdb/GDB_OFICIAL_IGAC_INTERSECT.gdb/a00000007.CatRelTypesByUUID.atx</t>
  </si>
  <si>
    <t>a00000007.gdbindexes</t>
  </si>
  <si>
    <t>DATOS/GDB_POMCA_INTERSECCION/GDB_POMCA_INTERSECCION.gdb/GDB_OFICIAL_IGAC_INTERSECT.gdb/a00000007.gdbindexes</t>
  </si>
  <si>
    <t>a00000007.gdbtable</t>
  </si>
  <si>
    <t>DATOS/GDB_POMCA_INTERSECCION/GDB_POMCA_INTERSECCION.gdb/GDB_OFICIAL_IGAC_INTERSECT.gdb/a00000007.gdbtable</t>
  </si>
  <si>
    <t>a00000007.gdbtablx</t>
  </si>
  <si>
    <t>DATOS/GDB_POMCA_INTERSECCION/GDB_POMCA_INTERSECCION.gdb/GDB_OFICIAL_IGAC_INTERSECT.gdb/a00000007.gdbtablx</t>
  </si>
  <si>
    <t>a00000009.EditingTemplatesByDatasetGUID.atx</t>
  </si>
  <si>
    <t>DATOS/GDB_POMCA_INTERSECCION/GDB_POMCA_INTERSECCION.gdb/GDB_OFICIAL_IGAC_INTERSECT.gdb/a00000009.EditingTemplatesByDatasetGUID.atx</t>
  </si>
  <si>
    <t>a00000009.EditingTemplatesByName.atx</t>
  </si>
  <si>
    <t>DATOS/GDB_POMCA_INTERSECCION/GDB_POMCA_INTERSECCION.gdb/GDB_OFICIAL_IGAC_INTERSECT.gdb/a00000009.EditingTemplatesByName.atx</t>
  </si>
  <si>
    <t>a00000009.EditingTemplatesByType.atx</t>
  </si>
  <si>
    <t>DATOS/GDB_POMCA_INTERSECCION/GDB_POMCA_INTERSECCION.gdb/GDB_OFICIAL_IGAC_INTERSECT.gdb/a00000009.EditingTemplatesByType.atx</t>
  </si>
  <si>
    <t>a00000009.FDO_GlobalID.atx</t>
  </si>
  <si>
    <t>DATOS/GDB_POMCA_INTERSECCION/GDB_POMCA_INTERSECCION.gdb/GDB_OFICIAL_IGAC_INTERSECT.gdb/a00000009.FDO_GlobalID.atx</t>
  </si>
  <si>
    <t>a00000009.gdbindexes</t>
  </si>
  <si>
    <t>DATOS/GDB_POMCA_INTERSECCION/GDB_POMCA_INTERSECCION.gdb/GDB_OFICIAL_IGAC_INTERSECT.gdb/a00000009.gdbindexes</t>
  </si>
  <si>
    <t>a00000009.gdbtable</t>
  </si>
  <si>
    <t>DATOS/GDB_POMCA_INTERSECCION/GDB_POMCA_INTERSECCION.gdb/GDB_OFICIAL_IGAC_INTERSECT.gdb/a00000009.gdbtable</t>
  </si>
  <si>
    <t>a00000009.gdbtablx</t>
  </si>
  <si>
    <t>DATOS/GDB_POMCA_INTERSECCION/GDB_POMCA_INTERSECCION.gdb/GDB_OFICIAL_IGAC_INTERSECT.gdb/a00000009.gdbtablx</t>
  </si>
  <si>
    <t>a0000000a.EditingTemplateRelsByDestinationID.atx</t>
  </si>
  <si>
    <t>DATOS/GDB_POMCA_INTERSECCION/GDB_POMCA_INTERSECCION.gdb/GDB_OFICIAL_IGAC_INTERSECT.gdb/a0000000a.EditingTemplateRelsByDestinationID.atx</t>
  </si>
  <si>
    <t>a0000000a.EditingTemplateRelsByOriginID.atx</t>
  </si>
  <si>
    <t>DATOS/GDB_POMCA_INTERSECCION/GDB_POMCA_INTERSECCION.gdb/GDB_OFICIAL_IGAC_INTERSECT.gdb/a0000000a.EditingTemplateRelsByOriginID.atx</t>
  </si>
  <si>
    <t>a0000000a.EditingTemplateRelsByType.atx</t>
  </si>
  <si>
    <t>DATOS/GDB_POMCA_INTERSECCION/GDB_POMCA_INTERSECCION.gdb/GDB_OFICIAL_IGAC_INTERSECT.gdb/a0000000a.EditingTemplateRelsByType.atx</t>
  </si>
  <si>
    <t>a0000000a.gdbindexes</t>
  </si>
  <si>
    <t>DATOS/GDB_POMCA_INTERSECCION/GDB_POMCA_INTERSECCION.gdb/GDB_OFICIAL_IGAC_INTERSECT.gdb/a0000000a.gdbindexes</t>
  </si>
  <si>
    <t>a0000000a.gdbtable</t>
  </si>
  <si>
    <t>DATOS/GDB_POMCA_INTERSECCION/GDB_POMCA_INTERSECCION.gdb/GDB_OFICIAL_IGAC_INTERSECT.gdb/a0000000a.gdbtable</t>
  </si>
  <si>
    <t>a0000000a.gdbtablx</t>
  </si>
  <si>
    <t>DATOS/GDB_POMCA_INTERSECCION/GDB_POMCA_INTERSECCION.gdb/GDB_OFICIAL_IGAC_INTERSECT.gdb/a0000000a.gdbtablx</t>
  </si>
  <si>
    <t>a0000000b.gdbindexes</t>
  </si>
  <si>
    <t>DATOS/GDB_POMCA_INTERSECCION/GDB_POMCA_INTERSECCION.gdb/GDB_OFICIAL_IGAC_INTERSECT.gdb/a0000000b.gdbindexes</t>
  </si>
  <si>
    <t>a0000000b.gdbtable</t>
  </si>
  <si>
    <t>DATOS/GDB_POMCA_INTERSECCION/GDB_POMCA_INTERSECCION.gdb/GDB_OFICIAL_IGAC_INTERSECT.gdb/a0000000b.gdbtable</t>
  </si>
  <si>
    <t>a0000000b.gdbtablx</t>
  </si>
  <si>
    <t>DATOS/GDB_POMCA_INTERSECCION/GDB_POMCA_INTERSECCION.gdb/GDB_OFICIAL_IGAC_INTERSECT.gdb/a0000000b.gdbtablx</t>
  </si>
  <si>
    <t>a0000000b.horizon</t>
  </si>
  <si>
    <t>DATOS/GDB_POMCA_INTERSECCION/GDB_POMCA_INTERSECCION.gdb/GDB_OFICIAL_IGAC_INTERSECT.gdb/a0000000b.horizon</t>
  </si>
  <si>
    <t>a0000000b.spx</t>
  </si>
  <si>
    <t>DATOS/GDB_POMCA_INTERSECCION/GDB_POMCA_INTERSECCION.gdb/GDB_OFICIAL_IGAC_INTERSECT.gdb/a0000000b.spx</t>
  </si>
  <si>
    <t>a0000000c.gdbindexes</t>
  </si>
  <si>
    <t>DATOS/GDB_POMCA_INTERSECCION/GDB_POMCA_INTERSECCION.gdb/GDB_OFICIAL_IGAC_INTERSECT.gdb/a0000000c.gdbindexes</t>
  </si>
  <si>
    <t>a0000000c.gdbtable</t>
  </si>
  <si>
    <t>DATOS/GDB_POMCA_INTERSECCION/GDB_POMCA_INTERSECCION.gdb/GDB_OFICIAL_IGAC_INTERSECT.gdb/a0000000c.gdbtable</t>
  </si>
  <si>
    <t>a0000000c.gdbtablx</t>
  </si>
  <si>
    <t>DATOS/GDB_POMCA_INTERSECCION/GDB_POMCA_INTERSECCION.gdb/GDB_OFICIAL_IGAC_INTERSECT.gdb/a0000000c.gdbtablx</t>
  </si>
  <si>
    <t>a0000000c.horizon</t>
  </si>
  <si>
    <t>DATOS/GDB_POMCA_INTERSECCION/GDB_POMCA_INTERSECCION.gdb/GDB_OFICIAL_IGAC_INTERSECT.gdb/a0000000c.horizon</t>
  </si>
  <si>
    <t>a0000000c.spx</t>
  </si>
  <si>
    <t>DATOS/GDB_POMCA_INTERSECCION/GDB_POMCA_INTERSECCION.gdb/GDB_OFICIAL_IGAC_INTERSECT.gdb/a0000000c.spx</t>
  </si>
  <si>
    <t>a0000000d.gdbindexes</t>
  </si>
  <si>
    <t>DATOS/GDB_POMCA_INTERSECCION/GDB_POMCA_INTERSECCION.gdb/GDB_OFICIAL_IGAC_INTERSECT.gdb/a0000000d.gdbindexes</t>
  </si>
  <si>
    <t>a0000000d.gdbtable</t>
  </si>
  <si>
    <t>DATOS/GDB_POMCA_INTERSECCION/GDB_POMCA_INTERSECCION.gdb/GDB_OFICIAL_IGAC_INTERSECT.gdb/a0000000d.gdbtable</t>
  </si>
  <si>
    <t>a0000000d.gdbtablx</t>
  </si>
  <si>
    <t>DATOS/GDB_POMCA_INTERSECCION/GDB_POMCA_INTERSECCION.gdb/GDB_OFICIAL_IGAC_INTERSECT.gdb/a0000000d.gdbtablx</t>
  </si>
  <si>
    <t>a0000000d.horizon</t>
  </si>
  <si>
    <t>DATOS/GDB_POMCA_INTERSECCION/GDB_POMCA_INTERSECCION.gdb/GDB_OFICIAL_IGAC_INTERSECT.gdb/a0000000d.horizon</t>
  </si>
  <si>
    <t>a0000000d.spx</t>
  </si>
  <si>
    <t>DATOS/GDB_POMCA_INTERSECCION/GDB_POMCA_INTERSECCION.gdb/GDB_OFICIAL_IGAC_INTERSECT.gdb/a0000000d.spx</t>
  </si>
  <si>
    <t>a0000000e.gdbindexes</t>
  </si>
  <si>
    <t>DATOS/GDB_POMCA_INTERSECCION/GDB_POMCA_INTERSECCION.gdb/GDB_OFICIAL_IGAC_INTERSECT.gdb/a0000000e.gdbindexes</t>
  </si>
  <si>
    <t>a0000000e.gdbtable</t>
  </si>
  <si>
    <t>DATOS/GDB_POMCA_INTERSECCION/GDB_POMCA_INTERSECCION.gdb/GDB_OFICIAL_IGAC_INTERSECT.gdb/a0000000e.gdbtable</t>
  </si>
  <si>
    <t>a0000000e.gdbtablx</t>
  </si>
  <si>
    <t>DATOS/GDB_POMCA_INTERSECCION/GDB_POMCA_INTERSECCION.gdb/GDB_OFICIAL_IGAC_INTERSECT.gdb/a0000000e.gdbtablx</t>
  </si>
  <si>
    <t>a0000000e.horizon</t>
  </si>
  <si>
    <t>DATOS/GDB_POMCA_INTERSECCION/GDB_POMCA_INTERSECCION.gdb/GDB_OFICIAL_IGAC_INTERSECT.gdb/a0000000e.horizon</t>
  </si>
  <si>
    <t>a0000000e.spx</t>
  </si>
  <si>
    <t>DATOS/GDB_POMCA_INTERSECCION/GDB_POMCA_INTERSECCION.gdb/GDB_OFICIAL_IGAC_INTERSECT.gdb/a0000000e.spx</t>
  </si>
  <si>
    <t>a0000000f.gdbindexes</t>
  </si>
  <si>
    <t>DATOS/GDB_POMCA_INTERSECCION/GDB_POMCA_INTERSECCION.gdb/GDB_OFICIAL_IGAC_INTERSECT.gdb/a0000000f.gdbindexes</t>
  </si>
  <si>
    <t>a0000000f.gdbtable</t>
  </si>
  <si>
    <t>DATOS/GDB_POMCA_INTERSECCION/GDB_POMCA_INTERSECCION.gdb/GDB_OFICIAL_IGAC_INTERSECT.gdb/a0000000f.gdbtable</t>
  </si>
  <si>
    <t>a0000000f.gdbtablx</t>
  </si>
  <si>
    <t>DATOS/GDB_POMCA_INTERSECCION/GDB_POMCA_INTERSECCION.gdb/GDB_OFICIAL_IGAC_INTERSECT.gdb/a0000000f.gdbtablx</t>
  </si>
  <si>
    <t>a0000000f.horizon</t>
  </si>
  <si>
    <t>DATOS/GDB_POMCA_INTERSECCION/GDB_POMCA_INTERSECCION.gdb/GDB_OFICIAL_IGAC_INTERSECT.gdb/a0000000f.horizon</t>
  </si>
  <si>
    <t>a0000000f.spx</t>
  </si>
  <si>
    <t>DATOS/GDB_POMCA_INTERSECCION/GDB_POMCA_INTERSECCION.gdb/GDB_OFICIAL_IGAC_INTERSECT.gdb/a0000000f.spx</t>
  </si>
  <si>
    <t>a00000010.AnnoClassID_Index_26.atx</t>
  </si>
  <si>
    <t>DATOS/GDB_POMCA_INTERSECCION/GDB_POMCA_INTERSECCION.gdb/GDB_OFICIAL_IGAC_INTERSECT.gdb/a00000010.AnnoClassID_Index_26.atx</t>
  </si>
  <si>
    <t>a00000010.freelist</t>
  </si>
  <si>
    <t>DATOS/GDB_POMCA_INTERSECCION/GDB_POMCA_INTERSECCION.gdb/GDB_OFICIAL_IGAC_INTERSECT.gdb/a00000010.freelist</t>
  </si>
  <si>
    <t>a00000010.gdbindexes</t>
  </si>
  <si>
    <t>DATOS/GDB_POMCA_INTERSECCION/GDB_POMCA_INTERSECCION.gdb/GDB_OFICIAL_IGAC_INTERSECT.gdb/a00000010.gdbindexes</t>
  </si>
  <si>
    <t>a00000010.gdbtable</t>
  </si>
  <si>
    <t>DATOS/GDB_POMCA_INTERSECCION/GDB_POMCA_INTERSECCION.gdb/GDB_OFICIAL_IGAC_INTERSECT.gdb/a00000010.gdbtable</t>
  </si>
  <si>
    <t>a00000010.gdbtablx</t>
  </si>
  <si>
    <t>DATOS/GDB_POMCA_INTERSECCION/GDB_POMCA_INTERSECCION.gdb/GDB_OFICIAL_IGAC_INTERSECT.gdb/a00000010.gdbtablx</t>
  </si>
  <si>
    <t>a00000010.horizon</t>
  </si>
  <si>
    <t>DATOS/GDB_POMCA_INTERSECCION/GDB_POMCA_INTERSECCION.gdb/GDB_OFICIAL_IGAC_INTERSECT.gdb/a00000010.horizon</t>
  </si>
  <si>
    <t>a00000010.spx</t>
  </si>
  <si>
    <t>DATOS/GDB_POMCA_INTERSECCION/GDB_POMCA_INTERSECCION.gdb/GDB_OFICIAL_IGAC_INTERSECT.gdb/a00000010.spx</t>
  </si>
  <si>
    <t>a00000010.Status_Index_26.atx</t>
  </si>
  <si>
    <t>DATOS/GDB_POMCA_INTERSECCION/GDB_POMCA_INTERSECCION.gdb/GDB_OFICIAL_IGAC_INTERSECT.gdb/a00000010.Status_Index_26.atx</t>
  </si>
  <si>
    <t>a00000011.AnnoClassID_Index_28.atx</t>
  </si>
  <si>
    <t>DATOS/GDB_POMCA_INTERSECCION/GDB_POMCA_INTERSECCION.gdb/GDB_OFICIAL_IGAC_INTERSECT.gdb/a00000011.AnnoClassID_Index_28.atx</t>
  </si>
  <si>
    <t>a00000011.freelist</t>
  </si>
  <si>
    <t>DATOS/GDB_POMCA_INTERSECCION/GDB_POMCA_INTERSECCION.gdb/GDB_OFICIAL_IGAC_INTERSECT.gdb/a00000011.freelist</t>
  </si>
  <si>
    <t>a00000011.gdbindexes</t>
  </si>
  <si>
    <t>DATOS/GDB_POMCA_INTERSECCION/GDB_POMCA_INTERSECCION.gdb/GDB_OFICIAL_IGAC_INTERSECT.gdb/a00000011.gdbindexes</t>
  </si>
  <si>
    <t>a00000011.gdbtable</t>
  </si>
  <si>
    <t>DATOS/GDB_POMCA_INTERSECCION/GDB_POMCA_INTERSECCION.gdb/GDB_OFICIAL_IGAC_INTERSECT.gdb/a00000011.gdbtable</t>
  </si>
  <si>
    <t>a00000011.gdbtablx</t>
  </si>
  <si>
    <t>DATOS/GDB_POMCA_INTERSECCION/GDB_POMCA_INTERSECCION.gdb/GDB_OFICIAL_IGAC_INTERSECT.gdb/a00000011.gdbtablx</t>
  </si>
  <si>
    <t>a00000011.horizon</t>
  </si>
  <si>
    <t>DATOS/GDB_POMCA_INTERSECCION/GDB_POMCA_INTERSECCION.gdb/GDB_OFICIAL_IGAC_INTERSECT.gdb/a00000011.horizon</t>
  </si>
  <si>
    <t>a00000011.spx</t>
  </si>
  <si>
    <t>DATOS/GDB_POMCA_INTERSECCION/GDB_POMCA_INTERSECCION.gdb/GDB_OFICIAL_IGAC_INTERSECT.gdb/a00000011.spx</t>
  </si>
  <si>
    <t>a00000011.Status_Index_28.atx</t>
  </si>
  <si>
    <t>DATOS/GDB_POMCA_INTERSECCION/GDB_POMCA_INTERSECCION.gdb/GDB_OFICIAL_IGAC_INTERSECT.gdb/a00000011.Status_Index_28.atx</t>
  </si>
  <si>
    <t>a00000012.gdbindexes</t>
  </si>
  <si>
    <t>DATOS/GDB_POMCA_INTERSECCION/GDB_POMCA_INTERSECCION.gdb/GDB_OFICIAL_IGAC_INTERSECT.gdb/a00000012.gdbindexes</t>
  </si>
  <si>
    <t>a00000012.gdbtable</t>
  </si>
  <si>
    <t>DATOS/GDB_POMCA_INTERSECCION/GDB_POMCA_INTERSECCION.gdb/GDB_OFICIAL_IGAC_INTERSECT.gdb/a00000012.gdbtable</t>
  </si>
  <si>
    <t>a00000012.gdbtablx</t>
  </si>
  <si>
    <t>DATOS/GDB_POMCA_INTERSECCION/GDB_POMCA_INTERSECCION.gdb/GDB_OFICIAL_IGAC_INTERSECT.gdb/a00000012.gdbtablx</t>
  </si>
  <si>
    <t>a00000012.horizon</t>
  </si>
  <si>
    <t>DATOS/GDB_POMCA_INTERSECCION/GDB_POMCA_INTERSECCION.gdb/GDB_OFICIAL_IGAC_INTERSECT.gdb/a00000012.horizon</t>
  </si>
  <si>
    <t>a00000012.spx</t>
  </si>
  <si>
    <t>DATOS/GDB_POMCA_INTERSECCION/GDB_POMCA_INTERSECCION.gdb/GDB_OFICIAL_IGAC_INTERSECT.gdb/a00000012.spx</t>
  </si>
  <si>
    <t>a00000013.gdbindexes</t>
  </si>
  <si>
    <t>DATOS/GDB_POMCA_INTERSECCION/GDB_POMCA_INTERSECCION.gdb/GDB_OFICIAL_IGAC_INTERSECT.gdb/a00000013.gdbindexes</t>
  </si>
  <si>
    <t>a00000013.gdbtable</t>
  </si>
  <si>
    <t>DATOS/GDB_POMCA_INTERSECCION/GDB_POMCA_INTERSECCION.gdb/GDB_OFICIAL_IGAC_INTERSECT.gdb/a00000013.gdbtable</t>
  </si>
  <si>
    <t>a00000013.gdbtablx</t>
  </si>
  <si>
    <t>DATOS/GDB_POMCA_INTERSECCION/GDB_POMCA_INTERSECCION.gdb/GDB_OFICIAL_IGAC_INTERSECT.gdb/a00000013.gdbtablx</t>
  </si>
  <si>
    <t>a00000013.horizon</t>
  </si>
  <si>
    <t>DATOS/GDB_POMCA_INTERSECCION/GDB_POMCA_INTERSECCION.gdb/GDB_OFICIAL_IGAC_INTERSECT.gdb/a00000013.horizon</t>
  </si>
  <si>
    <t>a00000013.spx</t>
  </si>
  <si>
    <t>DATOS/GDB_POMCA_INTERSECCION/GDB_POMCA_INTERSECCION.gdb/GDB_OFICIAL_IGAC_INTERSECT.gdb/a00000013.spx</t>
  </si>
  <si>
    <t>a00000014.gdbindexes</t>
  </si>
  <si>
    <t>DATOS/GDB_POMCA_INTERSECCION/GDB_POMCA_INTERSECCION.gdb/GDB_OFICIAL_IGAC_INTERSECT.gdb/a00000014.gdbindexes</t>
  </si>
  <si>
    <t>a00000014.gdbtable</t>
  </si>
  <si>
    <t>DATOS/GDB_POMCA_INTERSECCION/GDB_POMCA_INTERSECCION.gdb/GDB_OFICIAL_IGAC_INTERSECT.gdb/a00000014.gdbtable</t>
  </si>
  <si>
    <t>a00000014.gdbtablx</t>
  </si>
  <si>
    <t>DATOS/GDB_POMCA_INTERSECCION/GDB_POMCA_INTERSECCION.gdb/GDB_OFICIAL_IGAC_INTERSECT.gdb/a00000014.gdbtablx</t>
  </si>
  <si>
    <t>a00000014.horizon</t>
  </si>
  <si>
    <t>DATOS/GDB_POMCA_INTERSECCION/GDB_POMCA_INTERSECCION.gdb/GDB_OFICIAL_IGAC_INTERSECT.gdb/a00000014.horizon</t>
  </si>
  <si>
    <t>a00000014.spx</t>
  </si>
  <si>
    <t>DATOS/GDB_POMCA_INTERSECCION/GDB_POMCA_INTERSECCION.gdb/GDB_OFICIAL_IGAC_INTERSECT.gdb/a00000014.spx</t>
  </si>
  <si>
    <t>a00000015.AnnoClassID_Index_38.atx</t>
  </si>
  <si>
    <t>DATOS/GDB_POMCA_INTERSECCION/GDB_POMCA_INTERSECCION.gdb/GDB_OFICIAL_IGAC_INTERSECT.gdb/a00000015.AnnoClassID_Index_38.atx</t>
  </si>
  <si>
    <t>a00000015.freelist</t>
  </si>
  <si>
    <t>DATOS/GDB_POMCA_INTERSECCION/GDB_POMCA_INTERSECCION.gdb/GDB_OFICIAL_IGAC_INTERSECT.gdb/a00000015.freelist</t>
  </si>
  <si>
    <t>a00000015.gdbindexes</t>
  </si>
  <si>
    <t>DATOS/GDB_POMCA_INTERSECCION/GDB_POMCA_INTERSECCION.gdb/GDB_OFICIAL_IGAC_INTERSECT.gdb/a00000015.gdbindexes</t>
  </si>
  <si>
    <t>a00000015.gdbtable</t>
  </si>
  <si>
    <t>DATOS/GDB_POMCA_INTERSECCION/GDB_POMCA_INTERSECCION.gdb/GDB_OFICIAL_IGAC_INTERSECT.gdb/a00000015.gdbtable</t>
  </si>
  <si>
    <t>a00000015.gdbtablx</t>
  </si>
  <si>
    <t>DATOS/GDB_POMCA_INTERSECCION/GDB_POMCA_INTERSECCION.gdb/GDB_OFICIAL_IGAC_INTERSECT.gdb/a00000015.gdbtablx</t>
  </si>
  <si>
    <t>a00000015.horizon</t>
  </si>
  <si>
    <t>DATOS/GDB_POMCA_INTERSECCION/GDB_POMCA_INTERSECCION.gdb/GDB_OFICIAL_IGAC_INTERSECT.gdb/a00000015.horizon</t>
  </si>
  <si>
    <t>a00000015.spx</t>
  </si>
  <si>
    <t>DATOS/GDB_POMCA_INTERSECCION/GDB_POMCA_INTERSECCION.gdb/GDB_OFICIAL_IGAC_INTERSECT.gdb/a00000015.spx</t>
  </si>
  <si>
    <t>a00000015.Status_Index_38.atx</t>
  </si>
  <si>
    <t>DATOS/GDB_POMCA_INTERSECCION/GDB_POMCA_INTERSECCION.gdb/GDB_OFICIAL_IGAC_INTERSECT.gdb/a00000015.Status_Index_38.atx</t>
  </si>
  <si>
    <t>a00000016.gdbindexes</t>
  </si>
  <si>
    <t>DATOS/GDB_POMCA_INTERSECCION/GDB_POMCA_INTERSECCION.gdb/GDB_OFICIAL_IGAC_INTERSECT.gdb/a00000016.gdbindexes</t>
  </si>
  <si>
    <t>a00000016.gdbtable</t>
  </si>
  <si>
    <t>DATOS/GDB_POMCA_INTERSECCION/GDB_POMCA_INTERSECCION.gdb/GDB_OFICIAL_IGAC_INTERSECT.gdb/a00000016.gdbtable</t>
  </si>
  <si>
    <t>a00000016.gdbtablx</t>
  </si>
  <si>
    <t>DATOS/GDB_POMCA_INTERSECCION/GDB_POMCA_INTERSECCION.gdb/GDB_OFICIAL_IGAC_INTERSECT.gdb/a00000016.gdbtablx</t>
  </si>
  <si>
    <t>a00000016.horizon</t>
  </si>
  <si>
    <t>DATOS/GDB_POMCA_INTERSECCION/GDB_POMCA_INTERSECCION.gdb/GDB_OFICIAL_IGAC_INTERSECT.gdb/a00000016.horizon</t>
  </si>
  <si>
    <t>a00000016.spx</t>
  </si>
  <si>
    <t>DATOS/GDB_POMCA_INTERSECCION/GDB_POMCA_INTERSECCION.gdb/GDB_OFICIAL_IGAC_INTERSECT.gdb/a00000016.spx</t>
  </si>
  <si>
    <t>a00000017.AnnoClassID_Index_42.atx</t>
  </si>
  <si>
    <t>DATOS/GDB_POMCA_INTERSECCION/GDB_POMCA_INTERSECCION.gdb/GDB_OFICIAL_IGAC_INTERSECT.gdb/a00000017.AnnoClassID_Index_42.atx</t>
  </si>
  <si>
    <t>a00000017.freelist</t>
  </si>
  <si>
    <t>DATOS/GDB_POMCA_INTERSECCION/GDB_POMCA_INTERSECCION.gdb/GDB_OFICIAL_IGAC_INTERSECT.gdb/a00000017.freelist</t>
  </si>
  <si>
    <t>a00000017.gdbindexes</t>
  </si>
  <si>
    <t>DATOS/GDB_POMCA_INTERSECCION/GDB_POMCA_INTERSECCION.gdb/GDB_OFICIAL_IGAC_INTERSECT.gdb/a00000017.gdbindexes</t>
  </si>
  <si>
    <t>a00000017.gdbtable</t>
  </si>
  <si>
    <t>DATOS/GDB_POMCA_INTERSECCION/GDB_POMCA_INTERSECCION.gdb/GDB_OFICIAL_IGAC_INTERSECT.gdb/a00000017.gdbtable</t>
  </si>
  <si>
    <t>a00000017.gdbtablx</t>
  </si>
  <si>
    <t>DATOS/GDB_POMCA_INTERSECCION/GDB_POMCA_INTERSECCION.gdb/GDB_OFICIAL_IGAC_INTERSECT.gdb/a00000017.gdbtablx</t>
  </si>
  <si>
    <t>a00000017.horizon</t>
  </si>
  <si>
    <t>DATOS/GDB_POMCA_INTERSECCION/GDB_POMCA_INTERSECCION.gdb/GDB_OFICIAL_IGAC_INTERSECT.gdb/a00000017.horizon</t>
  </si>
  <si>
    <t>a00000017.spx</t>
  </si>
  <si>
    <t>DATOS/GDB_POMCA_INTERSECCION/GDB_POMCA_INTERSECCION.gdb/GDB_OFICIAL_IGAC_INTERSECT.gdb/a00000017.spx</t>
  </si>
  <si>
    <t>a00000017.Status_Index_42.atx</t>
  </si>
  <si>
    <t>DATOS/GDB_POMCA_INTERSECCION/GDB_POMCA_INTERSECCION.gdb/GDB_OFICIAL_IGAC_INTERSECT.gdb/a00000017.Status_Index_42.atx</t>
  </si>
  <si>
    <t>a00000018.gdbindexes</t>
  </si>
  <si>
    <t>DATOS/GDB_POMCA_INTERSECCION/GDB_POMCA_INTERSECCION.gdb/GDB_OFICIAL_IGAC_INTERSECT.gdb/a00000018.gdbindexes</t>
  </si>
  <si>
    <t>a00000018.gdbtable</t>
  </si>
  <si>
    <t>DATOS/GDB_POMCA_INTERSECCION/GDB_POMCA_INTERSECCION.gdb/GDB_OFICIAL_IGAC_INTERSECT.gdb/a00000018.gdbtable</t>
  </si>
  <si>
    <t>a00000018.gdbtablx</t>
  </si>
  <si>
    <t>DATOS/GDB_POMCA_INTERSECCION/GDB_POMCA_INTERSECCION.gdb/GDB_OFICIAL_IGAC_INTERSECT.gdb/a00000018.gdbtablx</t>
  </si>
  <si>
    <t>a00000018.horizon</t>
  </si>
  <si>
    <t>DATOS/GDB_POMCA_INTERSECCION/GDB_POMCA_INTERSECCION.gdb/GDB_OFICIAL_IGAC_INTERSECT.gdb/a00000018.horizon</t>
  </si>
  <si>
    <t>a00000018.spx</t>
  </si>
  <si>
    <t>DATOS/GDB_POMCA_INTERSECCION/GDB_POMCA_INTERSECCION.gdb/GDB_OFICIAL_IGAC_INTERSECT.gdb/a00000018.spx</t>
  </si>
  <si>
    <t>a00000019.gdbindexes</t>
  </si>
  <si>
    <t>DATOS/GDB_POMCA_INTERSECCION/GDB_POMCA_INTERSECCION.gdb/GDB_OFICIAL_IGAC_INTERSECT.gdb/a00000019.gdbindexes</t>
  </si>
  <si>
    <t>a00000019.gdbtable</t>
  </si>
  <si>
    <t>DATOS/GDB_POMCA_INTERSECCION/GDB_POMCA_INTERSECCION.gdb/GDB_OFICIAL_IGAC_INTERSECT.gdb/a00000019.gdbtable</t>
  </si>
  <si>
    <t>a00000019.gdbtablx</t>
  </si>
  <si>
    <t>DATOS/GDB_POMCA_INTERSECCION/GDB_POMCA_INTERSECCION.gdb/GDB_OFICIAL_IGAC_INTERSECT.gdb/a00000019.gdbtablx</t>
  </si>
  <si>
    <t>a00000019.horizon</t>
  </si>
  <si>
    <t>DATOS/GDB_POMCA_INTERSECCION/GDB_POMCA_INTERSECCION.gdb/GDB_OFICIAL_IGAC_INTERSECT.gdb/a00000019.horizon</t>
  </si>
  <si>
    <t>a00000019.spx</t>
  </si>
  <si>
    <t>DATOS/GDB_POMCA_INTERSECCION/GDB_POMCA_INTERSECCION.gdb/GDB_OFICIAL_IGAC_INTERSECT.gdb/a00000019.spx</t>
  </si>
  <si>
    <t>a0000001a.gdbindexes</t>
  </si>
  <si>
    <t>DATOS/GDB_POMCA_INTERSECCION/GDB_POMCA_INTERSECCION.gdb/GDB_OFICIAL_IGAC_INTERSECT.gdb/a0000001a.gdbindexes</t>
  </si>
  <si>
    <t>a0000001a.gdbtable</t>
  </si>
  <si>
    <t>DATOS/GDB_POMCA_INTERSECCION/GDB_POMCA_INTERSECCION.gdb/GDB_OFICIAL_IGAC_INTERSECT.gdb/a0000001a.gdbtable</t>
  </si>
  <si>
    <t>a0000001a.gdbtablx</t>
  </si>
  <si>
    <t>DATOS/GDB_POMCA_INTERSECCION/GDB_POMCA_INTERSECCION.gdb/GDB_OFICIAL_IGAC_INTERSECT.gdb/a0000001a.gdbtablx</t>
  </si>
  <si>
    <t>a0000001a.horizon</t>
  </si>
  <si>
    <t>DATOS/GDB_POMCA_INTERSECCION/GDB_POMCA_INTERSECCION.gdb/GDB_OFICIAL_IGAC_INTERSECT.gdb/a0000001a.horizon</t>
  </si>
  <si>
    <t>a0000001a.spx</t>
  </si>
  <si>
    <t>DATOS/GDB_POMCA_INTERSECCION/GDB_POMCA_INTERSECCION.gdb/GDB_OFICIAL_IGAC_INTERSECT.gdb/a0000001a.spx</t>
  </si>
  <si>
    <t>a0000001b.AnnoClassID_Index_53.atx</t>
  </si>
  <si>
    <t>DATOS/GDB_POMCA_INTERSECCION/GDB_POMCA_INTERSECCION.gdb/GDB_OFICIAL_IGAC_INTERSECT.gdb/a0000001b.AnnoClassID_Index_53.atx</t>
  </si>
  <si>
    <t>a0000001b.freelist</t>
  </si>
  <si>
    <t>DATOS/GDB_POMCA_INTERSECCION/GDB_POMCA_INTERSECCION.gdb/GDB_OFICIAL_IGAC_INTERSECT.gdb/a0000001b.freelist</t>
  </si>
  <si>
    <t>a0000001b.gdbindexes</t>
  </si>
  <si>
    <t>DATOS/GDB_POMCA_INTERSECCION/GDB_POMCA_INTERSECCION.gdb/GDB_OFICIAL_IGAC_INTERSECT.gdb/a0000001b.gdbindexes</t>
  </si>
  <si>
    <t>a0000001b.gdbtable</t>
  </si>
  <si>
    <t>DATOS/GDB_POMCA_INTERSECCION/GDB_POMCA_INTERSECCION.gdb/GDB_OFICIAL_IGAC_INTERSECT.gdb/a0000001b.gdbtable</t>
  </si>
  <si>
    <t>a0000001b.gdbtablx</t>
  </si>
  <si>
    <t>DATOS/GDB_POMCA_INTERSECCION/GDB_POMCA_INTERSECCION.gdb/GDB_OFICIAL_IGAC_INTERSECT.gdb/a0000001b.gdbtablx</t>
  </si>
  <si>
    <t>a0000001b.horizon</t>
  </si>
  <si>
    <t>DATOS/GDB_POMCA_INTERSECCION/GDB_POMCA_INTERSECCION.gdb/GDB_OFICIAL_IGAC_INTERSECT.gdb/a0000001b.horizon</t>
  </si>
  <si>
    <t>a0000001b.spx</t>
  </si>
  <si>
    <t>DATOS/GDB_POMCA_INTERSECCION/GDB_POMCA_INTERSECCION.gdb/GDB_OFICIAL_IGAC_INTERSECT.gdb/a0000001b.spx</t>
  </si>
  <si>
    <t>a0000001b.Status_Index_53.atx</t>
  </si>
  <si>
    <t>DATOS/GDB_POMCA_INTERSECCION/GDB_POMCA_INTERSECCION.gdb/GDB_OFICIAL_IGAC_INTERSECT.gdb/a0000001b.Status_Index_53.atx</t>
  </si>
  <si>
    <t>a0000001c.gdbindexes</t>
  </si>
  <si>
    <t>DATOS/GDB_POMCA_INTERSECCION/GDB_POMCA_INTERSECCION.gdb/GDB_OFICIAL_IGAC_INTERSECT.gdb/a0000001c.gdbindexes</t>
  </si>
  <si>
    <t>a0000001c.gdbtable</t>
  </si>
  <si>
    <t>DATOS/GDB_POMCA_INTERSECCION/GDB_POMCA_INTERSECCION.gdb/GDB_OFICIAL_IGAC_INTERSECT.gdb/a0000001c.gdbtable</t>
  </si>
  <si>
    <t>a0000001c.gdbtablx</t>
  </si>
  <si>
    <t>DATOS/GDB_POMCA_INTERSECCION/GDB_POMCA_INTERSECCION.gdb/GDB_OFICIAL_IGAC_INTERSECT.gdb/a0000001c.gdbtablx</t>
  </si>
  <si>
    <t>a0000001c.horizon</t>
  </si>
  <si>
    <t>DATOS/GDB_POMCA_INTERSECCION/GDB_POMCA_INTERSECCION.gdb/GDB_OFICIAL_IGAC_INTERSECT.gdb/a0000001c.horizon</t>
  </si>
  <si>
    <t>a0000001c.spx</t>
  </si>
  <si>
    <t>DATOS/GDB_POMCA_INTERSECCION/GDB_POMCA_INTERSECCION.gdb/GDB_OFICIAL_IGAC_INTERSECT.gdb/a0000001c.spx</t>
  </si>
  <si>
    <t>a0000001d.gdbindexes</t>
  </si>
  <si>
    <t>DATOS/GDB_POMCA_INTERSECCION/GDB_POMCA_INTERSECCION.gdb/GDB_OFICIAL_IGAC_INTERSECT.gdb/a0000001d.gdbindexes</t>
  </si>
  <si>
    <t>a0000001d.gdbtable</t>
  </si>
  <si>
    <t>DATOS/GDB_POMCA_INTERSECCION/GDB_POMCA_INTERSECCION.gdb/GDB_OFICIAL_IGAC_INTERSECT.gdb/a0000001d.gdbtable</t>
  </si>
  <si>
    <t>a0000001d.gdbtablx</t>
  </si>
  <si>
    <t>DATOS/GDB_POMCA_INTERSECCION/GDB_POMCA_INTERSECCION.gdb/GDB_OFICIAL_IGAC_INTERSECT.gdb/a0000001d.gdbtablx</t>
  </si>
  <si>
    <t>a0000001d.horizon</t>
  </si>
  <si>
    <t>DATOS/GDB_POMCA_INTERSECCION/GDB_POMCA_INTERSECCION.gdb/GDB_OFICIAL_IGAC_INTERSECT.gdb/a0000001d.horizon</t>
  </si>
  <si>
    <t>a0000001d.spx</t>
  </si>
  <si>
    <t>DATOS/GDB_POMCA_INTERSECCION/GDB_POMCA_INTERSECCION.gdb/GDB_OFICIAL_IGAC_INTERSECT.gdb/a0000001d.spx</t>
  </si>
  <si>
    <t>a0000001e.AnnoClassID_Index_61.atx</t>
  </si>
  <si>
    <t>DATOS/GDB_POMCA_INTERSECCION/GDB_POMCA_INTERSECCION.gdb/GDB_OFICIAL_IGAC_INTERSECT.gdb/a0000001e.AnnoClassID_Index_61.atx</t>
  </si>
  <si>
    <t>a0000001e.freelist</t>
  </si>
  <si>
    <t>DATOS/GDB_POMCA_INTERSECCION/GDB_POMCA_INTERSECCION.gdb/GDB_OFICIAL_IGAC_INTERSECT.gdb/a0000001e.freelist</t>
  </si>
  <si>
    <t>a0000001e.gdbindexes</t>
  </si>
  <si>
    <t>DATOS/GDB_POMCA_INTERSECCION/GDB_POMCA_INTERSECCION.gdb/GDB_OFICIAL_IGAC_INTERSECT.gdb/a0000001e.gdbindexes</t>
  </si>
  <si>
    <t>a0000001e.gdbtable</t>
  </si>
  <si>
    <t>DATOS/GDB_POMCA_INTERSECCION/GDB_POMCA_INTERSECCION.gdb/GDB_OFICIAL_IGAC_INTERSECT.gdb/a0000001e.gdbtable</t>
  </si>
  <si>
    <t>a0000001e.gdbtablx</t>
  </si>
  <si>
    <t>DATOS/GDB_POMCA_INTERSECCION/GDB_POMCA_INTERSECCION.gdb/GDB_OFICIAL_IGAC_INTERSECT.gdb/a0000001e.gdbtablx</t>
  </si>
  <si>
    <t>a0000001e.horizon</t>
  </si>
  <si>
    <t>DATOS/GDB_POMCA_INTERSECCION/GDB_POMCA_INTERSECCION.gdb/GDB_OFICIAL_IGAC_INTERSECT.gdb/a0000001e.horizon</t>
  </si>
  <si>
    <t>a0000001e.spx</t>
  </si>
  <si>
    <t>DATOS/GDB_POMCA_INTERSECCION/GDB_POMCA_INTERSECCION.gdb/GDB_OFICIAL_IGAC_INTERSECT.gdb/a0000001e.spx</t>
  </si>
  <si>
    <t>a0000001e.Status_Index_61.atx</t>
  </si>
  <si>
    <t>DATOS/GDB_POMCA_INTERSECCION/GDB_POMCA_INTERSECCION.gdb/GDB_OFICIAL_IGAC_INTERSECT.gdb/a0000001e.Status_Index_61.atx</t>
  </si>
  <si>
    <t>a0000001f.AnnoClassID_Index_63.atx</t>
  </si>
  <si>
    <t>DATOS/GDB_POMCA_INTERSECCION/GDB_POMCA_INTERSECCION.gdb/GDB_OFICIAL_IGAC_INTERSECT.gdb/a0000001f.AnnoClassID_Index_63.atx</t>
  </si>
  <si>
    <t>a0000001f.freelist</t>
  </si>
  <si>
    <t>DATOS/GDB_POMCA_INTERSECCION/GDB_POMCA_INTERSECCION.gdb/GDB_OFICIAL_IGAC_INTERSECT.gdb/a0000001f.freelist</t>
  </si>
  <si>
    <t>a0000001f.gdbindexes</t>
  </si>
  <si>
    <t>DATOS/GDB_POMCA_INTERSECCION/GDB_POMCA_INTERSECCION.gdb/GDB_OFICIAL_IGAC_INTERSECT.gdb/a0000001f.gdbindexes</t>
  </si>
  <si>
    <t>a0000001f.gdbtable</t>
  </si>
  <si>
    <t>DATOS/GDB_POMCA_INTERSECCION/GDB_POMCA_INTERSECCION.gdb/GDB_OFICIAL_IGAC_INTERSECT.gdb/a0000001f.gdbtable</t>
  </si>
  <si>
    <t>a0000001f.gdbtablx</t>
  </si>
  <si>
    <t>DATOS/GDB_POMCA_INTERSECCION/GDB_POMCA_INTERSECCION.gdb/GDB_OFICIAL_IGAC_INTERSECT.gdb/a0000001f.gdbtablx</t>
  </si>
  <si>
    <t>a0000001f.horizon</t>
  </si>
  <si>
    <t>DATOS/GDB_POMCA_INTERSECCION/GDB_POMCA_INTERSECCION.gdb/GDB_OFICIAL_IGAC_INTERSECT.gdb/a0000001f.horizon</t>
  </si>
  <si>
    <t>a0000001f.spx</t>
  </si>
  <si>
    <t>DATOS/GDB_POMCA_INTERSECCION/GDB_POMCA_INTERSECCION.gdb/GDB_OFICIAL_IGAC_INTERSECT.gdb/a0000001f.spx</t>
  </si>
  <si>
    <t>a0000001f.Status_Index_63.atx</t>
  </si>
  <si>
    <t>DATOS/GDB_POMCA_INTERSECCION/GDB_POMCA_INTERSECCION.gdb/GDB_OFICIAL_IGAC_INTERSECT.gdb/a0000001f.Status_Index_63.atx</t>
  </si>
  <si>
    <t>a00000020.gdbindexes</t>
  </si>
  <si>
    <t>DATOS/GDB_POMCA_INTERSECCION/GDB_POMCA_INTERSECCION.gdb/GDB_OFICIAL_IGAC_INTERSECT.gdb/a00000020.gdbindexes</t>
  </si>
  <si>
    <t>a00000020.gdbtable</t>
  </si>
  <si>
    <t>DATOS/GDB_POMCA_INTERSECCION/GDB_POMCA_INTERSECCION.gdb/GDB_OFICIAL_IGAC_INTERSECT.gdb/a00000020.gdbtable</t>
  </si>
  <si>
    <t>a00000020.gdbtablx</t>
  </si>
  <si>
    <t>DATOS/GDB_POMCA_INTERSECCION/GDB_POMCA_INTERSECCION.gdb/GDB_OFICIAL_IGAC_INTERSECT.gdb/a00000020.gdbtablx</t>
  </si>
  <si>
    <t>a00000020.horizon</t>
  </si>
  <si>
    <t>DATOS/GDB_POMCA_INTERSECCION/GDB_POMCA_INTERSECCION.gdb/GDB_OFICIAL_IGAC_INTERSECT.gdb/a00000020.horizon</t>
  </si>
  <si>
    <t>a00000020.spx</t>
  </si>
  <si>
    <t>DATOS/GDB_POMCA_INTERSECCION/GDB_POMCA_INTERSECCION.gdb/GDB_OFICIAL_IGAC_INTERSECT.gdb/a00000020.spx</t>
  </si>
  <si>
    <t>a00000021.gdbindexes</t>
  </si>
  <si>
    <t>DATOS/GDB_POMCA_INTERSECCION/GDB_POMCA_INTERSECCION.gdb/GDB_OFICIAL_IGAC_INTERSECT.gdb/a00000021.gdbindexes</t>
  </si>
  <si>
    <t>a00000021.gdbtable</t>
  </si>
  <si>
    <t>DATOS/GDB_POMCA_INTERSECCION/GDB_POMCA_INTERSECCION.gdb/GDB_OFICIAL_IGAC_INTERSECT.gdb/a00000021.gdbtable</t>
  </si>
  <si>
    <t>a00000021.gdbtablx</t>
  </si>
  <si>
    <t>DATOS/GDB_POMCA_INTERSECCION/GDB_POMCA_INTERSECCION.gdb/GDB_OFICIAL_IGAC_INTERSECT.gdb/a00000021.gdbtablx</t>
  </si>
  <si>
    <t>a00000022.gdbindexes</t>
  </si>
  <si>
    <t>DATOS/GDB_POMCA_INTERSECCION/GDB_POMCA_INTERSECCION.gdb/GDB_OFICIAL_IGAC_INTERSECT.gdb/a00000022.gdbindexes</t>
  </si>
  <si>
    <t>a00000022.gdbtable</t>
  </si>
  <si>
    <t>DATOS/GDB_POMCA_INTERSECCION/GDB_POMCA_INTERSECCION.gdb/GDB_OFICIAL_IGAC_INTERSECT.gdb/a00000022.gdbtable</t>
  </si>
  <si>
    <t>a00000022.gdbtablx</t>
  </si>
  <si>
    <t>DATOS/GDB_POMCA_INTERSECCION/GDB_POMCA_INTERSECCION.gdb/GDB_OFICIAL_IGAC_INTERSECT.gdb/a00000022.gdbtablx</t>
  </si>
  <si>
    <t>a00000022.horizon</t>
  </si>
  <si>
    <t>DATOS/GDB_POMCA_INTERSECCION/GDB_POMCA_INTERSECCION.gdb/GDB_OFICIAL_IGAC_INTERSECT.gdb/a00000022.horizon</t>
  </si>
  <si>
    <t>a00000022.spx</t>
  </si>
  <si>
    <t>DATOS/GDB_POMCA_INTERSECCION/GDB_POMCA_INTERSECCION.gdb/GDB_OFICIAL_IGAC_INTERSECT.gdb/a00000022.spx</t>
  </si>
  <si>
    <t>a00000023.gdbindexes</t>
  </si>
  <si>
    <t>DATOS/GDB_POMCA_INTERSECCION/GDB_POMCA_INTERSECCION.gdb/GDB_OFICIAL_IGAC_INTERSECT.gdb/a00000023.gdbindexes</t>
  </si>
  <si>
    <t>a00000023.gdbtable</t>
  </si>
  <si>
    <t>DATOS/GDB_POMCA_INTERSECCION/GDB_POMCA_INTERSECCION.gdb/GDB_OFICIAL_IGAC_INTERSECT.gdb/a00000023.gdbtable</t>
  </si>
  <si>
    <t>a00000023.gdbtablx</t>
  </si>
  <si>
    <t>DATOS/GDB_POMCA_INTERSECCION/GDB_POMCA_INTERSECCION.gdb/GDB_OFICIAL_IGAC_INTERSECT.gdb/a00000023.gdbtablx</t>
  </si>
  <si>
    <t>a00000023.horizon</t>
  </si>
  <si>
    <t>DATOS/GDB_POMCA_INTERSECCION/GDB_POMCA_INTERSECCION.gdb/GDB_OFICIAL_IGAC_INTERSECT.gdb/a00000023.horizon</t>
  </si>
  <si>
    <t>a00000023.spx</t>
  </si>
  <si>
    <t>DATOS/GDB_POMCA_INTERSECCION/GDB_POMCA_INTERSECCION.gdb/GDB_OFICIAL_IGAC_INTERSECT.gdb/a00000023.spx</t>
  </si>
  <si>
    <t>a00000024.AnnoClassID_Index_78.atx</t>
  </si>
  <si>
    <t>DATOS/GDB_POMCA_INTERSECCION/GDB_POMCA_INTERSECCION.gdb/GDB_OFICIAL_IGAC_INTERSECT.gdb/a00000024.AnnoClassID_Index_78.atx</t>
  </si>
  <si>
    <t>a00000024.freelist</t>
  </si>
  <si>
    <t>DATOS/GDB_POMCA_INTERSECCION/GDB_POMCA_INTERSECCION.gdb/GDB_OFICIAL_IGAC_INTERSECT.gdb/a00000024.freelist</t>
  </si>
  <si>
    <t>a00000024.gdbindexes</t>
  </si>
  <si>
    <t>DATOS/GDB_POMCA_INTERSECCION/GDB_POMCA_INTERSECCION.gdb/GDB_OFICIAL_IGAC_INTERSECT.gdb/a00000024.gdbindexes</t>
  </si>
  <si>
    <t>a00000024.gdbtable</t>
  </si>
  <si>
    <t>DATOS/GDB_POMCA_INTERSECCION/GDB_POMCA_INTERSECCION.gdb/GDB_OFICIAL_IGAC_INTERSECT.gdb/a00000024.gdbtable</t>
  </si>
  <si>
    <t>a00000024.gdbtablx</t>
  </si>
  <si>
    <t>DATOS/GDB_POMCA_INTERSECCION/GDB_POMCA_INTERSECCION.gdb/GDB_OFICIAL_IGAC_INTERSECT.gdb/a00000024.gdbtablx</t>
  </si>
  <si>
    <t>a00000024.horizon</t>
  </si>
  <si>
    <t>DATOS/GDB_POMCA_INTERSECCION/GDB_POMCA_INTERSECCION.gdb/GDB_OFICIAL_IGAC_INTERSECT.gdb/a00000024.horizon</t>
  </si>
  <si>
    <t>a00000024.spx</t>
  </si>
  <si>
    <t>DATOS/GDB_POMCA_INTERSECCION/GDB_POMCA_INTERSECCION.gdb/GDB_OFICIAL_IGAC_INTERSECT.gdb/a00000024.spx</t>
  </si>
  <si>
    <t>a00000024.Status_Index_78.atx</t>
  </si>
  <si>
    <t>DATOS/GDB_POMCA_INTERSECCION/GDB_POMCA_INTERSECCION.gdb/GDB_OFICIAL_IGAC_INTERSECT.gdb/a00000024.Status_Index_78.atx</t>
  </si>
  <si>
    <t>a00000025.gdbindexes</t>
  </si>
  <si>
    <t>DATOS/GDB_POMCA_INTERSECCION/GDB_POMCA_INTERSECCION.gdb/GDB_OFICIAL_IGAC_INTERSECT.gdb/a00000025.gdbindexes</t>
  </si>
  <si>
    <t>a00000025.gdbtable</t>
  </si>
  <si>
    <t>DATOS/GDB_POMCA_INTERSECCION/GDB_POMCA_INTERSECCION.gdb/GDB_OFICIAL_IGAC_INTERSECT.gdb/a00000025.gdbtable</t>
  </si>
  <si>
    <t>a00000025.gdbtablx</t>
  </si>
  <si>
    <t>DATOS/GDB_POMCA_INTERSECCION/GDB_POMCA_INTERSECCION.gdb/GDB_OFICIAL_IGAC_INTERSECT.gdb/a00000025.gdbtablx</t>
  </si>
  <si>
    <t>a00000025.horizon</t>
  </si>
  <si>
    <t>DATOS/GDB_POMCA_INTERSECCION/GDB_POMCA_INTERSECCION.gdb/GDB_OFICIAL_IGAC_INTERSECT.gdb/a00000025.horizon</t>
  </si>
  <si>
    <t>a00000025.spx</t>
  </si>
  <si>
    <t>DATOS/GDB_POMCA_INTERSECCION/GDB_POMCA_INTERSECCION.gdb/GDB_OFICIAL_IGAC_INTERSECT.gdb/a00000025.spx</t>
  </si>
  <si>
    <t>a00000026.gdbindexes</t>
  </si>
  <si>
    <t>DATOS/GDB_POMCA_INTERSECCION/GDB_POMCA_INTERSECCION.gdb/GDB_OFICIAL_IGAC_INTERSECT.gdb/a00000026.gdbindexes</t>
  </si>
  <si>
    <t>a00000026.gdbtable</t>
  </si>
  <si>
    <t>DATOS/GDB_POMCA_INTERSECCION/GDB_POMCA_INTERSECCION.gdb/GDB_OFICIAL_IGAC_INTERSECT.gdb/a00000026.gdbtable</t>
  </si>
  <si>
    <t>a00000026.gdbtablx</t>
  </si>
  <si>
    <t>DATOS/GDB_POMCA_INTERSECCION/GDB_POMCA_INTERSECCION.gdb/GDB_OFICIAL_IGAC_INTERSECT.gdb/a00000026.gdbtablx</t>
  </si>
  <si>
    <t>a00000026.horizon</t>
  </si>
  <si>
    <t>DATOS/GDB_POMCA_INTERSECCION/GDB_POMCA_INTERSECCION.gdb/GDB_OFICIAL_IGAC_INTERSECT.gdb/a00000026.horizon</t>
  </si>
  <si>
    <t>a00000026.spx</t>
  </si>
  <si>
    <t>DATOS/GDB_POMCA_INTERSECCION/GDB_POMCA_INTERSECCION.gdb/GDB_OFICIAL_IGAC_INTERSECT.gdb/a00000026.spx</t>
  </si>
  <si>
    <t>a00000027.AnnoClassID_Index_86.atx</t>
  </si>
  <si>
    <t>DATOS/GDB_POMCA_INTERSECCION/GDB_POMCA_INTERSECCION.gdb/GDB_OFICIAL_IGAC_INTERSECT.gdb/a00000027.AnnoClassID_Index_86.atx</t>
  </si>
  <si>
    <t>a00000027.freelist</t>
  </si>
  <si>
    <t>DATOS/GDB_POMCA_INTERSECCION/GDB_POMCA_INTERSECCION.gdb/GDB_OFICIAL_IGAC_INTERSECT.gdb/a00000027.freelist</t>
  </si>
  <si>
    <t>a00000027.gdbindexes</t>
  </si>
  <si>
    <t>DATOS/GDB_POMCA_INTERSECCION/GDB_POMCA_INTERSECCION.gdb/GDB_OFICIAL_IGAC_INTERSECT.gdb/a00000027.gdbindexes</t>
  </si>
  <si>
    <t>a00000027.gdbtable</t>
  </si>
  <si>
    <t>DATOS/GDB_POMCA_INTERSECCION/GDB_POMCA_INTERSECCION.gdb/GDB_OFICIAL_IGAC_INTERSECT.gdb/a00000027.gdbtable</t>
  </si>
  <si>
    <t>a00000027.gdbtablx</t>
  </si>
  <si>
    <t>DATOS/GDB_POMCA_INTERSECCION/GDB_POMCA_INTERSECCION.gdb/GDB_OFICIAL_IGAC_INTERSECT.gdb/a00000027.gdbtablx</t>
  </si>
  <si>
    <t>a00000027.horizon</t>
  </si>
  <si>
    <t>DATOS/GDB_POMCA_INTERSECCION/GDB_POMCA_INTERSECCION.gdb/GDB_OFICIAL_IGAC_INTERSECT.gdb/a00000027.horizon</t>
  </si>
  <si>
    <t>a00000027.spx</t>
  </si>
  <si>
    <t>DATOS/GDB_POMCA_INTERSECCION/GDB_POMCA_INTERSECCION.gdb/GDB_OFICIAL_IGAC_INTERSECT.gdb/a00000027.spx</t>
  </si>
  <si>
    <t>a00000027.Status_Index_86.atx</t>
  </si>
  <si>
    <t>DATOS/GDB_POMCA_INTERSECCION/GDB_POMCA_INTERSECCION.gdb/GDB_OFICIAL_IGAC_INTERSECT.gdb/a00000027.Status_Index_86.atx</t>
  </si>
  <si>
    <t>a00000028.gdbindexes</t>
  </si>
  <si>
    <t>DATOS/GDB_POMCA_INTERSECCION/GDB_POMCA_INTERSECCION.gdb/GDB_OFICIAL_IGAC_INTERSECT.gdb/a00000028.gdbindexes</t>
  </si>
  <si>
    <t>a00000028.gdbtable</t>
  </si>
  <si>
    <t>DATOS/GDB_POMCA_INTERSECCION/GDB_POMCA_INTERSECCION.gdb/GDB_OFICIAL_IGAC_INTERSECT.gdb/a00000028.gdbtable</t>
  </si>
  <si>
    <t>a00000028.gdbtablx</t>
  </si>
  <si>
    <t>DATOS/GDB_POMCA_INTERSECCION/GDB_POMCA_INTERSECCION.gdb/GDB_OFICIAL_IGAC_INTERSECT.gdb/a00000028.gdbtablx</t>
  </si>
  <si>
    <t>a00000028.horizon</t>
  </si>
  <si>
    <t>DATOS/GDB_POMCA_INTERSECCION/GDB_POMCA_INTERSECCION.gdb/GDB_OFICIAL_IGAC_INTERSECT.gdb/a00000028.horizon</t>
  </si>
  <si>
    <t>a00000028.spx</t>
  </si>
  <si>
    <t>DATOS/GDB_POMCA_INTERSECCION/GDB_POMCA_INTERSECCION.gdb/GDB_OFICIAL_IGAC_INTERSECT.gdb/a00000028.spx</t>
  </si>
  <si>
    <t>a00000029.gdbindexes</t>
  </si>
  <si>
    <t>DATOS/GDB_POMCA_INTERSECCION/GDB_POMCA_INTERSECCION.gdb/GDB_OFICIAL_IGAC_INTERSECT.gdb/a00000029.gdbindexes</t>
  </si>
  <si>
    <t>a00000029.gdbtable</t>
  </si>
  <si>
    <t>DATOS/GDB_POMCA_INTERSECCION/GDB_POMCA_INTERSECCION.gdb/GDB_OFICIAL_IGAC_INTERSECT.gdb/a00000029.gdbtable</t>
  </si>
  <si>
    <t>a00000029.gdbtablx</t>
  </si>
  <si>
    <t>DATOS/GDB_POMCA_INTERSECCION/GDB_POMCA_INTERSECCION.gdb/GDB_OFICIAL_IGAC_INTERSECT.gdb/a00000029.gdbtablx</t>
  </si>
  <si>
    <t>a00000029.horizon</t>
  </si>
  <si>
    <t>DATOS/GDB_POMCA_INTERSECCION/GDB_POMCA_INTERSECCION.gdb/GDB_OFICIAL_IGAC_INTERSECT.gdb/a00000029.horizon</t>
  </si>
  <si>
    <t>a00000029.spx</t>
  </si>
  <si>
    <t>DATOS/GDB_POMCA_INTERSECCION/GDB_POMCA_INTERSECCION.gdb/GDB_OFICIAL_IGAC_INTERSECT.gdb/a00000029.spx</t>
  </si>
  <si>
    <t>a0000002a.AnnoClassID_Index_94.atx</t>
  </si>
  <si>
    <t>DATOS/GDB_POMCA_INTERSECCION/GDB_POMCA_INTERSECCION.gdb/GDB_OFICIAL_IGAC_INTERSECT.gdb/a0000002a.AnnoClassID_Index_94.atx</t>
  </si>
  <si>
    <t>a0000002a.freelist</t>
  </si>
  <si>
    <t>DATOS/GDB_POMCA_INTERSECCION/GDB_POMCA_INTERSECCION.gdb/GDB_OFICIAL_IGAC_INTERSECT.gdb/a0000002a.freelist</t>
  </si>
  <si>
    <t>a0000002a.gdbindexes</t>
  </si>
  <si>
    <t>DATOS/GDB_POMCA_INTERSECCION/GDB_POMCA_INTERSECCION.gdb/GDB_OFICIAL_IGAC_INTERSECT.gdb/a0000002a.gdbindexes</t>
  </si>
  <si>
    <t>a0000002a.gdbtable</t>
  </si>
  <si>
    <t>DATOS/GDB_POMCA_INTERSECCION/GDB_POMCA_INTERSECCION.gdb/GDB_OFICIAL_IGAC_INTERSECT.gdb/a0000002a.gdbtable</t>
  </si>
  <si>
    <t>a0000002a.gdbtablx</t>
  </si>
  <si>
    <t>DATOS/GDB_POMCA_INTERSECCION/GDB_POMCA_INTERSECCION.gdb/GDB_OFICIAL_IGAC_INTERSECT.gdb/a0000002a.gdbtablx</t>
  </si>
  <si>
    <t>a0000002a.horizon</t>
  </si>
  <si>
    <t>DATOS/GDB_POMCA_INTERSECCION/GDB_POMCA_INTERSECCION.gdb/GDB_OFICIAL_IGAC_INTERSECT.gdb/a0000002a.horizon</t>
  </si>
  <si>
    <t>a0000002a.spx</t>
  </si>
  <si>
    <t>DATOS/GDB_POMCA_INTERSECCION/GDB_POMCA_INTERSECCION.gdb/GDB_OFICIAL_IGAC_INTERSECT.gdb/a0000002a.spx</t>
  </si>
  <si>
    <t>a0000002a.Status_Index_94.atx</t>
  </si>
  <si>
    <t>DATOS/GDB_POMCA_INTERSECCION/GDB_POMCA_INTERSECCION.gdb/GDB_OFICIAL_IGAC_INTERSECT.gdb/a0000002a.Status_Index_94.atx</t>
  </si>
  <si>
    <t>a0000002b.AnnoClassID_Index_95.atx</t>
  </si>
  <si>
    <t>DATOS/GDB_POMCA_INTERSECCION/GDB_POMCA_INTERSECCION.gdb/GDB_OFICIAL_IGAC_INTERSECT.gdb/a0000002b.AnnoClassID_Index_95.atx</t>
  </si>
  <si>
    <t>a0000002b.freelist</t>
  </si>
  <si>
    <t>DATOS/GDB_POMCA_INTERSECCION/GDB_POMCA_INTERSECCION.gdb/GDB_OFICIAL_IGAC_INTERSECT.gdb/a0000002b.freelist</t>
  </si>
  <si>
    <t>a0000002b.gdbindexes</t>
  </si>
  <si>
    <t>DATOS/GDB_POMCA_INTERSECCION/GDB_POMCA_INTERSECCION.gdb/GDB_OFICIAL_IGAC_INTERSECT.gdb/a0000002b.gdbindexes</t>
  </si>
  <si>
    <t>a0000002b.gdbtable</t>
  </si>
  <si>
    <t>DATOS/GDB_POMCA_INTERSECCION/GDB_POMCA_INTERSECCION.gdb/GDB_OFICIAL_IGAC_INTERSECT.gdb/a0000002b.gdbtable</t>
  </si>
  <si>
    <t>a0000002b.gdbtablx</t>
  </si>
  <si>
    <t>DATOS/GDB_POMCA_INTERSECCION/GDB_POMCA_INTERSECCION.gdb/GDB_OFICIAL_IGAC_INTERSECT.gdb/a0000002b.gdbtablx</t>
  </si>
  <si>
    <t>a0000002b.horizon</t>
  </si>
  <si>
    <t>DATOS/GDB_POMCA_INTERSECCION/GDB_POMCA_INTERSECCION.gdb/GDB_OFICIAL_IGAC_INTERSECT.gdb/a0000002b.horizon</t>
  </si>
  <si>
    <t>a0000002b.spx</t>
  </si>
  <si>
    <t>DATOS/GDB_POMCA_INTERSECCION/GDB_POMCA_INTERSECCION.gdb/GDB_OFICIAL_IGAC_INTERSECT.gdb/a0000002b.spx</t>
  </si>
  <si>
    <t>a0000002b.Status_Index_95.atx</t>
  </si>
  <si>
    <t>DATOS/GDB_POMCA_INTERSECCION/GDB_POMCA_INTERSECCION.gdb/GDB_OFICIAL_IGAC_INTERSECT.gdb/a0000002b.Status_Index_95.atx</t>
  </si>
  <si>
    <t>a0000002c.gdbindexes</t>
  </si>
  <si>
    <t>DATOS/GDB_POMCA_INTERSECCION/GDB_POMCA_INTERSECCION.gdb/GDB_OFICIAL_IGAC_INTERSECT.gdb/a0000002c.gdbindexes</t>
  </si>
  <si>
    <t>a0000002c.gdbtable</t>
  </si>
  <si>
    <t>DATOS/GDB_POMCA_INTERSECCION/GDB_POMCA_INTERSECCION.gdb/GDB_OFICIAL_IGAC_INTERSECT.gdb/a0000002c.gdbtable</t>
  </si>
  <si>
    <t>a0000002c.gdbtablx</t>
  </si>
  <si>
    <t>DATOS/GDB_POMCA_INTERSECCION/GDB_POMCA_INTERSECCION.gdb/GDB_OFICIAL_IGAC_INTERSECT.gdb/a0000002c.gdbtablx</t>
  </si>
  <si>
    <t>a0000002c.horizon</t>
  </si>
  <si>
    <t>DATOS/GDB_POMCA_INTERSECCION/GDB_POMCA_INTERSECCION.gdb/GDB_OFICIAL_IGAC_INTERSECT.gdb/a0000002c.horizon</t>
  </si>
  <si>
    <t>a0000002c.spx</t>
  </si>
  <si>
    <t>DATOS/GDB_POMCA_INTERSECCION/GDB_POMCA_INTERSECCION.gdb/GDB_OFICIAL_IGAC_INTERSECT.gdb/a0000002c.spx</t>
  </si>
  <si>
    <t>a0000002d.gdbindexes</t>
  </si>
  <si>
    <t>DATOS/GDB_POMCA_INTERSECCION/GDB_POMCA_INTERSECCION.gdb/GDB_OFICIAL_IGAC_INTERSECT.gdb/a0000002d.gdbindexes</t>
  </si>
  <si>
    <t>a0000002d.gdbtable</t>
  </si>
  <si>
    <t>DATOS/GDB_POMCA_INTERSECCION/GDB_POMCA_INTERSECCION.gdb/GDB_OFICIAL_IGAC_INTERSECT.gdb/a0000002d.gdbtable</t>
  </si>
  <si>
    <t>a0000002d.gdbtablx</t>
  </si>
  <si>
    <t>DATOS/GDB_POMCA_INTERSECCION/GDB_POMCA_INTERSECCION.gdb/GDB_OFICIAL_IGAC_INTERSECT.gdb/a0000002d.gdbtablx</t>
  </si>
  <si>
    <t>a0000002d.horizon</t>
  </si>
  <si>
    <t>DATOS/GDB_POMCA_INTERSECCION/GDB_POMCA_INTERSECCION.gdb/GDB_OFICIAL_IGAC_INTERSECT.gdb/a0000002d.horizon</t>
  </si>
  <si>
    <t>a0000002d.spx</t>
  </si>
  <si>
    <t>DATOS/GDB_POMCA_INTERSECCION/GDB_POMCA_INTERSECCION.gdb/GDB_OFICIAL_IGAC_INTERSECT.gdb/a0000002d.spx</t>
  </si>
  <si>
    <t>a0000002e.gdbindexes</t>
  </si>
  <si>
    <t>DATOS/GDB_POMCA_INTERSECCION/GDB_POMCA_INTERSECCION.gdb/GDB_OFICIAL_IGAC_INTERSECT.gdb/a0000002e.gdbindexes</t>
  </si>
  <si>
    <t>a0000002e.gdbtable</t>
  </si>
  <si>
    <t>DATOS/GDB_POMCA_INTERSECCION/GDB_POMCA_INTERSECCION.gdb/GDB_OFICIAL_IGAC_INTERSECT.gdb/a0000002e.gdbtable</t>
  </si>
  <si>
    <t>a0000002e.gdbtablx</t>
  </si>
  <si>
    <t>DATOS/GDB_POMCA_INTERSECCION/GDB_POMCA_INTERSECCION.gdb/GDB_OFICIAL_IGAC_INTERSECT.gdb/a0000002e.gdbtablx</t>
  </si>
  <si>
    <t>a0000002e.horizon</t>
  </si>
  <si>
    <t>DATOS/GDB_POMCA_INTERSECCION/GDB_POMCA_INTERSECCION.gdb/GDB_OFICIAL_IGAC_INTERSECT.gdb/a0000002e.horizon</t>
  </si>
  <si>
    <t>a0000002e.spx</t>
  </si>
  <si>
    <t>DATOS/GDB_POMCA_INTERSECCION/GDB_POMCA_INTERSECCION.gdb/GDB_OFICIAL_IGAC_INTERSECT.gdb/a0000002e.spx</t>
  </si>
  <si>
    <t>a0000002f.gdbindexes</t>
  </si>
  <si>
    <t>DATOS/GDB_POMCA_INTERSECCION/GDB_POMCA_INTERSECCION.gdb/GDB_OFICIAL_IGAC_INTERSECT.gdb/a0000002f.gdbindexes</t>
  </si>
  <si>
    <t>a0000002f.gdbtable</t>
  </si>
  <si>
    <t>DATOS/GDB_POMCA_INTERSECCION/GDB_POMCA_INTERSECCION.gdb/GDB_OFICIAL_IGAC_INTERSECT.gdb/a0000002f.gdbtable</t>
  </si>
  <si>
    <t>a0000002f.gdbtablx</t>
  </si>
  <si>
    <t>DATOS/GDB_POMCA_INTERSECCION/GDB_POMCA_INTERSECCION.gdb/GDB_OFICIAL_IGAC_INTERSECT.gdb/a0000002f.gdbtablx</t>
  </si>
  <si>
    <t>a0000002f.horizon</t>
  </si>
  <si>
    <t>DATOS/GDB_POMCA_INTERSECCION/GDB_POMCA_INTERSECCION.gdb/GDB_OFICIAL_IGAC_INTERSECT.gdb/a0000002f.horizon</t>
  </si>
  <si>
    <t>a0000002f.spx</t>
  </si>
  <si>
    <t>DATOS/GDB_POMCA_INTERSECCION/GDB_POMCA_INTERSECCION.gdb/GDB_OFICIAL_IGAC_INTERSECT.gdb/a0000002f.spx</t>
  </si>
  <si>
    <t>gdb</t>
  </si>
  <si>
    <t>DATOS/GDB_POMCA_INTERSECCION/GDB_POMCA_INTERSECCION.gdb/GDB_OFICIAL_IGAC_INTERSECT.gdb/gdb</t>
  </si>
  <si>
    <t>timestamps</t>
  </si>
  <si>
    <t>DATOS/GDB_POMCA_INTERSECCION/GDB_POMCA_INTERSECCION.gdb/GDB_OFICIAL_IGAC_INTERSECT.gdb/timestamps</t>
  </si>
  <si>
    <t>a00000001.freelist</t>
  </si>
  <si>
    <t>DATOS/GDB_POMCA_INTERSECCION/GDB_POMCA_INTERSECCION.gdb/GDB_POMCAS_CARARE_INTERSECT.gdb/a00000001.freelist</t>
  </si>
  <si>
    <t>DATOS/GDB_POMCA_INTERSECCION/GDB_POMCA_INTERSECCION.gdb/GDB_POMCAS_CARARE_INTERSECT.gdb/a00000001.gdbindexes</t>
  </si>
  <si>
    <t>DATOS/GDB_POMCA_INTERSECCION/GDB_POMCA_INTERSECCION.gdb/GDB_POMCAS_CARARE_INTERSECT.gdb/a00000001.gdbtable</t>
  </si>
  <si>
    <t>DATOS/GDB_POMCA_INTERSECCION/GDB_POMCA_INTERSECCION.gdb/GDB_POMCAS_CARARE_INTERSECT.gdb/a00000001.gdbtablx</t>
  </si>
  <si>
    <t>DATOS/GDB_POMCA_INTERSECCION/GDB_POMCA_INTERSECCION.gdb/GDB_POMCAS_CARARE_INTERSECT.gdb/a00000001.TablesByName.atx</t>
  </si>
  <si>
    <t>DATOS/GDB_POMCA_INTERSECCION/GDB_POMCA_INTERSECCION.gdb/GDB_POMCAS_CARARE_INTERSECT.gdb/a00000002.gdbtable</t>
  </si>
  <si>
    <t>DATOS/GDB_POMCA_INTERSECCION/GDB_POMCA_INTERSECCION.gdb/GDB_POMCAS_CARARE_INTERSECT.gdb/a00000002.gdbtablx</t>
  </si>
  <si>
    <t>DATOS/GDB_POMCA_INTERSECCION/GDB_POMCA_INTERSECCION.gdb/GDB_POMCAS_CARARE_INTERSECT.gdb/a00000003.gdbindexes</t>
  </si>
  <si>
    <t>DATOS/GDB_POMCA_INTERSECCION/GDB_POMCA_INTERSECCION.gdb/GDB_POMCAS_CARARE_INTERSECT.gdb/a00000003.gdbtable</t>
  </si>
  <si>
    <t>DATOS/GDB_POMCA_INTERSECCION/GDB_POMCA_INTERSECCION.gdb/GDB_POMCAS_CARARE_INTERSECT.gdb/a00000003.gdbtablx</t>
  </si>
  <si>
    <t>DATOS/GDB_POMCA_INTERSECCION/GDB_POMCA_INTERSECCION.gdb/GDB_POMCAS_CARARE_INTERSECT.gdb/a00000004.CatItemsByPhysicalName.atx</t>
  </si>
  <si>
    <t>DATOS/GDB_POMCA_INTERSECCION/GDB_POMCA_INTERSECCION.gdb/GDB_POMCAS_CARARE_INTERSECT.gdb/a00000004.CatItemsByType.atx</t>
  </si>
  <si>
    <t>DATOS/GDB_POMCA_INTERSECCION/GDB_POMCA_INTERSECCION.gdb/GDB_POMCAS_CARARE_INTERSECT.gdb/a00000004.FDO_UUID.atx</t>
  </si>
  <si>
    <t>DATOS/GDB_POMCA_INTERSECCION/GDB_POMCA_INTERSECCION.gdb/GDB_POMCAS_CARARE_INTERSECT.gdb/a00000004.freelist</t>
  </si>
  <si>
    <t>DATOS/GDB_POMCA_INTERSECCION/GDB_POMCA_INTERSECCION.gdb/GDB_POMCAS_CARARE_INTERSECT.gdb/a00000004.gdbindexes</t>
  </si>
  <si>
    <t>DATOS/GDB_POMCA_INTERSECCION/GDB_POMCA_INTERSECCION.gdb/GDB_POMCAS_CARARE_INTERSECT.gdb/a00000004.gdbtable</t>
  </si>
  <si>
    <t>DATOS/GDB_POMCA_INTERSECCION/GDB_POMCA_INTERSECCION.gdb/GDB_POMCAS_CARARE_INTERSECT.gdb/a00000004.gdbtablx</t>
  </si>
  <si>
    <t>DATOS/GDB_POMCA_INTERSECCION/GDB_POMCA_INTERSECCION.gdb/GDB_POMCAS_CARARE_INTERSECT.gdb/a00000004.horizon</t>
  </si>
  <si>
    <t>DATOS/GDB_POMCA_INTERSECCION/GDB_POMCA_INTERSECCION.gdb/GDB_POMCAS_CARARE_INTERSECT.gdb/a00000004.spx</t>
  </si>
  <si>
    <t>DATOS/GDB_POMCA_INTERSECCION/GDB_POMCA_INTERSECCION.gdb/GDB_POMCAS_CARARE_INTERSECT.gdb/a00000005.CatItemTypesByName.atx</t>
  </si>
  <si>
    <t>DATOS/GDB_POMCA_INTERSECCION/GDB_POMCA_INTERSECCION.gdb/GDB_POMCAS_CARARE_INTERSECT.gdb/a00000005.CatItemTypesByParentTypeID.atx</t>
  </si>
  <si>
    <t>DATOS/GDB_POMCA_INTERSECCION/GDB_POMCA_INTERSECCION.gdb/GDB_POMCAS_CARARE_INTERSECT.gdb/a00000005.CatItemTypesByUUID.atx</t>
  </si>
  <si>
    <t>DATOS/GDB_POMCA_INTERSECCION/GDB_POMCA_INTERSECCION.gdb/GDB_POMCAS_CARARE_INTERSECT.gdb/a00000005.gdbindexes</t>
  </si>
  <si>
    <t>DATOS/GDB_POMCA_INTERSECCION/GDB_POMCA_INTERSECCION.gdb/GDB_POMCAS_CARARE_INTERSECT.gdb/a00000005.gdbtable</t>
  </si>
  <si>
    <t>DATOS/GDB_POMCA_INTERSECCION/GDB_POMCA_INTERSECCION.gdb/GDB_POMCAS_CARARE_INTERSECT.gdb/a00000005.gdbtablx</t>
  </si>
  <si>
    <t>DATOS/GDB_POMCA_INTERSECCION/GDB_POMCA_INTERSECCION.gdb/GDB_POMCAS_CARARE_INTERSECT.gdb/a00000006.CatRelsByDestinationID.atx</t>
  </si>
  <si>
    <t>DATOS/GDB_POMCA_INTERSECCION/GDB_POMCA_INTERSECCION.gdb/GDB_POMCAS_CARARE_INTERSECT.gdb/a00000006.CatRelsByOriginID.atx</t>
  </si>
  <si>
    <t>DATOS/GDB_POMCA_INTERSECCION/GDB_POMCA_INTERSECCION.gdb/GDB_POMCAS_CARARE_INTERSECT.gdb/a00000006.CatRelsByType.atx</t>
  </si>
  <si>
    <t>DATOS/GDB_POMCA_INTERSECCION/GDB_POMCA_INTERSECCION.gdb/GDB_POMCAS_CARARE_INTERSECT.gdb/a00000006.FDO_UUID.atx</t>
  </si>
  <si>
    <t>a00000006.freelist</t>
  </si>
  <si>
    <t>DATOS/GDB_POMCA_INTERSECCION/GDB_POMCA_INTERSECCION.gdb/GDB_POMCAS_CARARE_INTERSECT.gdb/a00000006.freelist</t>
  </si>
  <si>
    <t>DATOS/GDB_POMCA_INTERSECCION/GDB_POMCA_INTERSECCION.gdb/GDB_POMCAS_CARARE_INTERSECT.gdb/a00000006.gdbindexes</t>
  </si>
  <si>
    <t>DATOS/GDB_POMCA_INTERSECCION/GDB_POMCA_INTERSECCION.gdb/GDB_POMCAS_CARARE_INTERSECT.gdb/a00000006.gdbtable</t>
  </si>
  <si>
    <t>DATOS/GDB_POMCA_INTERSECCION/GDB_POMCA_INTERSECCION.gdb/GDB_POMCAS_CARARE_INTERSECT.gdb/a00000006.gdbtablx</t>
  </si>
  <si>
    <t>DATOS/GDB_POMCA_INTERSECCION/GDB_POMCA_INTERSECCION.gdb/GDB_POMCAS_CARARE_INTERSECT.gdb/a00000007.CatRelTypesByBackwardLabel.atx</t>
  </si>
  <si>
    <t>DATOS/GDB_POMCA_INTERSECCION/GDB_POMCA_INTERSECCION.gdb/GDB_POMCAS_CARARE_INTERSECT.gdb/a00000007.CatRelTypesByDestItemTypeID.atx</t>
  </si>
  <si>
    <t>DATOS/GDB_POMCA_INTERSECCION/GDB_POMCA_INTERSECCION.gdb/GDB_POMCAS_CARARE_INTERSECT.gdb/a00000007.CatRelTypesByForwardLabel.atx</t>
  </si>
  <si>
    <t>DATOS/GDB_POMCA_INTERSECCION/GDB_POMCA_INTERSECCION.gdb/GDB_POMCAS_CARARE_INTERSECT.gdb/a00000007.CatRelTypesByName.atx</t>
  </si>
  <si>
    <t>DATOS/GDB_POMCA_INTERSECCION/GDB_POMCA_INTERSECCION.gdb/GDB_POMCAS_CARARE_INTERSECT.gdb/a00000007.CatRelTypesByOriginItemTypeID.atx</t>
  </si>
  <si>
    <t>DATOS/GDB_POMCA_INTERSECCION/GDB_POMCA_INTERSECCION.gdb/GDB_POMCAS_CARARE_INTERSECT.gdb/a00000007.CatRelTypesByUUID.atx</t>
  </si>
  <si>
    <t>DATOS/GDB_POMCA_INTERSECCION/GDB_POMCA_INTERSECCION.gdb/GDB_POMCAS_CARARE_INTERSECT.gdb/a00000007.gdbindexes</t>
  </si>
  <si>
    <t>DATOS/GDB_POMCA_INTERSECCION/GDB_POMCA_INTERSECCION.gdb/GDB_POMCAS_CARARE_INTERSECT.gdb/a00000007.gdbtable</t>
  </si>
  <si>
    <t>DATOS/GDB_POMCA_INTERSECCION/GDB_POMCA_INTERSECCION.gdb/GDB_POMCAS_CARARE_INTERSECT.gdb/a00000007.gdbtablx</t>
  </si>
  <si>
    <t>DATOS/GDB_POMCA_INTERSECCION/GDB_POMCA_INTERSECCION.gdb/GDB_POMCAS_CARARE_INTERSECT.gdb/a00000009.EditingTemplatesByDatasetGUID.atx</t>
  </si>
  <si>
    <t>DATOS/GDB_POMCA_INTERSECCION/GDB_POMCA_INTERSECCION.gdb/GDB_POMCAS_CARARE_INTERSECT.gdb/a00000009.EditingTemplatesByName.atx</t>
  </si>
  <si>
    <t>DATOS/GDB_POMCA_INTERSECCION/GDB_POMCA_INTERSECCION.gdb/GDB_POMCAS_CARARE_INTERSECT.gdb/a00000009.EditingTemplatesByType.atx</t>
  </si>
  <si>
    <t>DATOS/GDB_POMCA_INTERSECCION/GDB_POMCA_INTERSECCION.gdb/GDB_POMCAS_CARARE_INTERSECT.gdb/a00000009.FDO_GlobalID.atx</t>
  </si>
  <si>
    <t>DATOS/GDB_POMCA_INTERSECCION/GDB_POMCA_INTERSECCION.gdb/GDB_POMCAS_CARARE_INTERSECT.gdb/a00000009.gdbindexes</t>
  </si>
  <si>
    <t>DATOS/GDB_POMCA_INTERSECCION/GDB_POMCA_INTERSECCION.gdb/GDB_POMCAS_CARARE_INTERSECT.gdb/a00000009.gdbtable</t>
  </si>
  <si>
    <t>DATOS/GDB_POMCA_INTERSECCION/GDB_POMCA_INTERSECCION.gdb/GDB_POMCAS_CARARE_INTERSECT.gdb/a00000009.gdbtablx</t>
  </si>
  <si>
    <t>DATOS/GDB_POMCA_INTERSECCION/GDB_POMCA_INTERSECCION.gdb/GDB_POMCAS_CARARE_INTERSECT.gdb/a0000000a.EditingTemplateRelsByDestinationID.atx</t>
  </si>
  <si>
    <t>DATOS/GDB_POMCA_INTERSECCION/GDB_POMCA_INTERSECCION.gdb/GDB_POMCAS_CARARE_INTERSECT.gdb/a0000000a.EditingTemplateRelsByOriginID.atx</t>
  </si>
  <si>
    <t>DATOS/GDB_POMCA_INTERSECCION/GDB_POMCA_INTERSECCION.gdb/GDB_POMCAS_CARARE_INTERSECT.gdb/a0000000a.EditingTemplateRelsByType.atx</t>
  </si>
  <si>
    <t>DATOS/GDB_POMCA_INTERSECCION/GDB_POMCA_INTERSECCION.gdb/GDB_POMCAS_CARARE_INTERSECT.gdb/a0000000a.gdbindexes</t>
  </si>
  <si>
    <t>DATOS/GDB_POMCA_INTERSECCION/GDB_POMCA_INTERSECCION.gdb/GDB_POMCAS_CARARE_INTERSECT.gdb/a0000000a.gdbtable</t>
  </si>
  <si>
    <t>DATOS/GDB_POMCA_INTERSECCION/GDB_POMCA_INTERSECCION.gdb/GDB_POMCAS_CARARE_INTERSECT.gdb/a0000000a.gdbtablx</t>
  </si>
  <si>
    <t>DATOS/GDB_POMCA_INTERSECCION/GDB_POMCA_INTERSECCION.gdb/GDB_POMCAS_CARARE_INTERSECT.gdb/a0000000b.gdbindexes</t>
  </si>
  <si>
    <t>DATOS/GDB_POMCA_INTERSECCION/GDB_POMCA_INTERSECCION.gdb/GDB_POMCAS_CARARE_INTERSECT.gdb/a0000000b.gdbtable</t>
  </si>
  <si>
    <t>DATOS/GDB_POMCA_INTERSECCION/GDB_POMCA_INTERSECCION.gdb/GDB_POMCAS_CARARE_INTERSECT.gdb/a0000000b.gdbtablx</t>
  </si>
  <si>
    <t>DATOS/GDB_POMCA_INTERSECCION/GDB_POMCA_INTERSECCION.gdb/GDB_POMCAS_CARARE_INTERSECT.gdb/a0000000b.horizon</t>
  </si>
  <si>
    <t>DATOS/GDB_POMCA_INTERSECCION/GDB_POMCA_INTERSECCION.gdb/GDB_POMCAS_CARARE_INTERSECT.gdb/a0000000b.spx</t>
  </si>
  <si>
    <t>DATOS/GDB_POMCA_INTERSECCION/GDB_POMCA_INTERSECCION.gdb/GDB_POMCAS_CARARE_INTERSECT.gdb/a0000000c.gdbindexes</t>
  </si>
  <si>
    <t>DATOS/GDB_POMCA_INTERSECCION/GDB_POMCA_INTERSECCION.gdb/GDB_POMCAS_CARARE_INTERSECT.gdb/a0000000c.gdbtable</t>
  </si>
  <si>
    <t>DATOS/GDB_POMCA_INTERSECCION/GDB_POMCA_INTERSECCION.gdb/GDB_POMCAS_CARARE_INTERSECT.gdb/a0000000c.gdbtablx</t>
  </si>
  <si>
    <t>DATOS/GDB_POMCA_INTERSECCION/GDB_POMCA_INTERSECCION.gdb/GDB_POMCAS_CARARE_INTERSECT.gdb/a0000000c.horizon</t>
  </si>
  <si>
    <t>DATOS/GDB_POMCA_INTERSECCION/GDB_POMCA_INTERSECCION.gdb/GDB_POMCAS_CARARE_INTERSECT.gdb/a0000000c.spx</t>
  </si>
  <si>
    <t>a00000025.freelist</t>
  </si>
  <si>
    <t>DATOS/GDB_POMCA_INTERSECCION/GDB_POMCA_INTERSECCION.gdb/GDB_POMCAS_CARARE_INTERSECT.gdb/a00000025.freelist</t>
  </si>
  <si>
    <t>DATOS/GDB_POMCA_INTERSECCION/GDB_POMCA_INTERSECCION.gdb/GDB_POMCAS_CARARE_INTERSECT.gdb/a00000025.gdbindexes</t>
  </si>
  <si>
    <t>DATOS/GDB_POMCA_INTERSECCION/GDB_POMCA_INTERSECCION.gdb/GDB_POMCAS_CARARE_INTERSECT.gdb/a00000025.gdbtable</t>
  </si>
  <si>
    <t>DATOS/GDB_POMCA_INTERSECCION/GDB_POMCA_INTERSECCION.gdb/GDB_POMCAS_CARARE_INTERSECT.gdb/a00000025.gdbtablx</t>
  </si>
  <si>
    <t>DATOS/GDB_POMCA_INTERSECCION/GDB_POMCA_INTERSECCION.gdb/GDB_POMCAS_CARARE_INTERSECT.gdb/a00000025.horizon</t>
  </si>
  <si>
    <t>DATOS/GDB_POMCA_INTERSECCION/GDB_POMCA_INTERSECCION.gdb/GDB_POMCAS_CARARE_INTERSECT.gdb/a00000025.spx</t>
  </si>
  <si>
    <t>DATOS/GDB_POMCA_INTERSECCION/GDB_POMCA_INTERSECCION.gdb/GDB_POMCAS_CARARE_INTERSECT.gdb/a00000026.gdbindexes</t>
  </si>
  <si>
    <t>DATOS/GDB_POMCA_INTERSECCION/GDB_POMCA_INTERSECCION.gdb/GDB_POMCAS_CARARE_INTERSECT.gdb/a00000026.gdbtable</t>
  </si>
  <si>
    <t>DATOS/GDB_POMCA_INTERSECCION/GDB_POMCA_INTERSECCION.gdb/GDB_POMCAS_CARARE_INTERSECT.gdb/a00000026.gdbtablx</t>
  </si>
  <si>
    <t>DATOS/GDB_POMCA_INTERSECCION/GDB_POMCA_INTERSECCION.gdb/GDB_POMCAS_CARARE_INTERSECT.gdb/a00000026.horizon</t>
  </si>
  <si>
    <t>DATOS/GDB_POMCA_INTERSECCION/GDB_POMCA_INTERSECCION.gdb/GDB_POMCAS_CARARE_INTERSECT.gdb/a00000026.spx</t>
  </si>
  <si>
    <t>DATOS/GDB_POMCA_INTERSECCION/GDB_POMCA_INTERSECCION.gdb/GDB_POMCAS_CARARE_INTERSECT.gdb/a00000027.gdbindexes</t>
  </si>
  <si>
    <t>DATOS/GDB_POMCA_INTERSECCION/GDB_POMCA_INTERSECCION.gdb/GDB_POMCAS_CARARE_INTERSECT.gdb/a00000027.gdbtable</t>
  </si>
  <si>
    <t>DATOS/GDB_POMCA_INTERSECCION/GDB_POMCA_INTERSECCION.gdb/GDB_POMCAS_CARARE_INTERSECT.gdb/a00000027.gdbtablx</t>
  </si>
  <si>
    <t>DATOS/GDB_POMCA_INTERSECCION/GDB_POMCA_INTERSECCION.gdb/GDB_POMCAS_CARARE_INTERSECT.gdb/a00000027.horizon</t>
  </si>
  <si>
    <t>DATOS/GDB_POMCA_INTERSECCION/GDB_POMCA_INTERSECCION.gdb/GDB_POMCAS_CARARE_INTERSECT.gdb/a00000027.spx</t>
  </si>
  <si>
    <t>DATOS/GDB_POMCA_INTERSECCION/GDB_POMCA_INTERSECCION.gdb/GDB_POMCAS_CARARE_INTERSECT.gdb/a00000028.gdbindexes</t>
  </si>
  <si>
    <t>DATOS/GDB_POMCA_INTERSECCION/GDB_POMCA_INTERSECCION.gdb/GDB_POMCAS_CARARE_INTERSECT.gdb/a00000028.gdbtable</t>
  </si>
  <si>
    <t>DATOS/GDB_POMCA_INTERSECCION/GDB_POMCA_INTERSECCION.gdb/GDB_POMCAS_CARARE_INTERSECT.gdb/a00000028.gdbtablx</t>
  </si>
  <si>
    <t>DATOS/GDB_POMCA_INTERSECCION/GDB_POMCA_INTERSECCION.gdb/GDB_POMCAS_CARARE_INTERSECT.gdb/a00000028.horizon</t>
  </si>
  <si>
    <t>DATOS/GDB_POMCA_INTERSECCION/GDB_POMCA_INTERSECCION.gdb/GDB_POMCAS_CARARE_INTERSECT.gdb/a00000028.spx</t>
  </si>
  <si>
    <t>DATOS/GDB_POMCA_INTERSECCION/GDB_POMCA_INTERSECCION.gdb/GDB_POMCAS_CARARE_INTERSECT.gdb/a00000029.gdbindexes</t>
  </si>
  <si>
    <t>DATOS/GDB_POMCA_INTERSECCION/GDB_POMCA_INTERSECCION.gdb/GDB_POMCAS_CARARE_INTERSECT.gdb/a00000029.gdbtable</t>
  </si>
  <si>
    <t>DATOS/GDB_POMCA_INTERSECCION/GDB_POMCA_INTERSECCION.gdb/GDB_POMCAS_CARARE_INTERSECT.gdb/a00000029.gdbtablx</t>
  </si>
  <si>
    <t>DATOS/GDB_POMCA_INTERSECCION/GDB_POMCA_INTERSECCION.gdb/GDB_POMCAS_CARARE_INTERSECT.gdb/a00000029.horizon</t>
  </si>
  <si>
    <t>DATOS/GDB_POMCA_INTERSECCION/GDB_POMCA_INTERSECCION.gdb/GDB_POMCAS_CARARE_INTERSECT.gdb/a00000029.spx</t>
  </si>
  <si>
    <t>DATOS/GDB_POMCA_INTERSECCION/GDB_POMCA_INTERSECCION.gdb/GDB_POMCAS_CARARE_INTERSECT.gdb/a0000002a.gdbindexes</t>
  </si>
  <si>
    <t>DATOS/GDB_POMCA_INTERSECCION/GDB_POMCA_INTERSECCION.gdb/GDB_POMCAS_CARARE_INTERSECT.gdb/a0000002a.gdbtable</t>
  </si>
  <si>
    <t>DATOS/GDB_POMCA_INTERSECCION/GDB_POMCA_INTERSECCION.gdb/GDB_POMCAS_CARARE_INTERSECT.gdb/a0000002a.gdbtablx</t>
  </si>
  <si>
    <t>DATOS/GDB_POMCA_INTERSECCION/GDB_POMCA_INTERSECCION.gdb/GDB_POMCAS_CARARE_INTERSECT.gdb/a0000002a.horizon</t>
  </si>
  <si>
    <t>DATOS/GDB_POMCA_INTERSECCION/GDB_POMCA_INTERSECCION.gdb/GDB_POMCAS_CARARE_INTERSECT.gdb/a0000002a.spx</t>
  </si>
  <si>
    <t>DATOS/GDB_POMCA_INTERSECCION/GDB_POMCA_INTERSECCION.gdb/GDB_POMCAS_CARARE_INTERSECT.gdb/a0000002b.gdbindexes</t>
  </si>
  <si>
    <t>DATOS/GDB_POMCA_INTERSECCION/GDB_POMCA_INTERSECCION.gdb/GDB_POMCAS_CARARE_INTERSECT.gdb/a0000002b.gdbtable</t>
  </si>
  <si>
    <t>DATOS/GDB_POMCA_INTERSECCION/GDB_POMCA_INTERSECCION.gdb/GDB_POMCAS_CARARE_INTERSECT.gdb/a0000002b.gdbtablx</t>
  </si>
  <si>
    <t>DATOS/GDB_POMCA_INTERSECCION/GDB_POMCA_INTERSECCION.gdb/GDB_POMCAS_CARARE_INTERSECT.gdb/a0000002b.horizon</t>
  </si>
  <si>
    <t>DATOS/GDB_POMCA_INTERSECCION/GDB_POMCA_INTERSECCION.gdb/GDB_POMCAS_CARARE_INTERSECT.gdb/a0000002b.spx</t>
  </si>
  <si>
    <t>a0000002c.AnnoClassID_Index_43.atx</t>
  </si>
  <si>
    <t>DATOS/GDB_POMCA_INTERSECCION/GDB_POMCA_INTERSECCION.gdb/GDB_POMCAS_CARARE_INTERSECT.gdb/a0000002c.AnnoClassID_Index_43.atx</t>
  </si>
  <si>
    <t>a0000002c.freelist</t>
  </si>
  <si>
    <t>DATOS/GDB_POMCA_INTERSECCION/GDB_POMCA_INTERSECCION.gdb/GDB_POMCAS_CARARE_INTERSECT.gdb/a0000002c.freelist</t>
  </si>
  <si>
    <t>DATOS/GDB_POMCA_INTERSECCION/GDB_POMCA_INTERSECCION.gdb/GDB_POMCAS_CARARE_INTERSECT.gdb/a0000002c.gdbindexes</t>
  </si>
  <si>
    <t>DATOS/GDB_POMCA_INTERSECCION/GDB_POMCA_INTERSECCION.gdb/GDB_POMCAS_CARARE_INTERSECT.gdb/a0000002c.gdbtable</t>
  </si>
  <si>
    <t>DATOS/GDB_POMCA_INTERSECCION/GDB_POMCA_INTERSECCION.gdb/GDB_POMCAS_CARARE_INTERSECT.gdb/a0000002c.gdbtablx</t>
  </si>
  <si>
    <t>DATOS/GDB_POMCA_INTERSECCION/GDB_POMCA_INTERSECCION.gdb/GDB_POMCAS_CARARE_INTERSECT.gdb/a0000002c.horizon</t>
  </si>
  <si>
    <t>DATOS/GDB_POMCA_INTERSECCION/GDB_POMCA_INTERSECCION.gdb/GDB_POMCAS_CARARE_INTERSECT.gdb/a0000002c.spx</t>
  </si>
  <si>
    <t>a0000002c.Status_Index_43.atx</t>
  </si>
  <si>
    <t>DATOS/GDB_POMCA_INTERSECCION/GDB_POMCA_INTERSECCION.gdb/GDB_POMCAS_CARARE_INTERSECT.gdb/a0000002c.Status_Index_43.atx</t>
  </si>
  <si>
    <t>a0000002d.AnnoClassID_Index_44.atx</t>
  </si>
  <si>
    <t>DATOS/GDB_POMCA_INTERSECCION/GDB_POMCA_INTERSECCION.gdb/GDB_POMCAS_CARARE_INTERSECT.gdb/a0000002d.AnnoClassID_Index_44.atx</t>
  </si>
  <si>
    <t>a0000002d.freelist</t>
  </si>
  <si>
    <t>DATOS/GDB_POMCA_INTERSECCION/GDB_POMCA_INTERSECCION.gdb/GDB_POMCAS_CARARE_INTERSECT.gdb/a0000002d.freelist</t>
  </si>
  <si>
    <t>DATOS/GDB_POMCA_INTERSECCION/GDB_POMCA_INTERSECCION.gdb/GDB_POMCAS_CARARE_INTERSECT.gdb/a0000002d.gdbindexes</t>
  </si>
  <si>
    <t>DATOS/GDB_POMCA_INTERSECCION/GDB_POMCA_INTERSECCION.gdb/GDB_POMCAS_CARARE_INTERSECT.gdb/a0000002d.gdbtable</t>
  </si>
  <si>
    <t>DATOS/GDB_POMCA_INTERSECCION/GDB_POMCA_INTERSECCION.gdb/GDB_POMCAS_CARARE_INTERSECT.gdb/a0000002d.gdbtablx</t>
  </si>
  <si>
    <t>DATOS/GDB_POMCA_INTERSECCION/GDB_POMCA_INTERSECCION.gdb/GDB_POMCAS_CARARE_INTERSECT.gdb/a0000002d.horizon</t>
  </si>
  <si>
    <t>DATOS/GDB_POMCA_INTERSECCION/GDB_POMCA_INTERSECCION.gdb/GDB_POMCAS_CARARE_INTERSECT.gdb/a0000002d.spx</t>
  </si>
  <si>
    <t>a0000002d.Status_Index_44.atx</t>
  </si>
  <si>
    <t>DATOS/GDB_POMCA_INTERSECCION/GDB_POMCA_INTERSECCION.gdb/GDB_POMCAS_CARARE_INTERSECT.gdb/a0000002d.Status_Index_44.atx</t>
  </si>
  <si>
    <t>a00000030.gdbindexes</t>
  </si>
  <si>
    <t>DATOS/GDB_POMCA_INTERSECCION/GDB_POMCA_INTERSECCION.gdb/GDB_POMCAS_CARARE_INTERSECT.gdb/a00000030.gdbindexes</t>
  </si>
  <si>
    <t>a00000030.gdbtable</t>
  </si>
  <si>
    <t>DATOS/GDB_POMCA_INTERSECCION/GDB_POMCA_INTERSECCION.gdb/GDB_POMCAS_CARARE_INTERSECT.gdb/a00000030.gdbtable</t>
  </si>
  <si>
    <t>a00000030.gdbtablx</t>
  </si>
  <si>
    <t>DATOS/GDB_POMCA_INTERSECCION/GDB_POMCA_INTERSECCION.gdb/GDB_POMCAS_CARARE_INTERSECT.gdb/a00000030.gdbtablx</t>
  </si>
  <si>
    <t>a00000030.horizon</t>
  </si>
  <si>
    <t>DATOS/GDB_POMCA_INTERSECCION/GDB_POMCA_INTERSECCION.gdb/GDB_POMCAS_CARARE_INTERSECT.gdb/a00000030.horizon</t>
  </si>
  <si>
    <t>a00000030.spx</t>
  </si>
  <si>
    <t>DATOS/GDB_POMCA_INTERSECCION/GDB_POMCA_INTERSECCION.gdb/GDB_POMCAS_CARARE_INTERSECT.gdb/a00000030.spx</t>
  </si>
  <si>
    <t>a00000031.gdbindexes</t>
  </si>
  <si>
    <t>DATOS/GDB_POMCA_INTERSECCION/GDB_POMCA_INTERSECCION.gdb/GDB_POMCAS_CARARE_INTERSECT.gdb/a00000031.gdbindexes</t>
  </si>
  <si>
    <t>a00000031.gdbtable</t>
  </si>
  <si>
    <t>DATOS/GDB_POMCA_INTERSECCION/GDB_POMCA_INTERSECCION.gdb/GDB_POMCAS_CARARE_INTERSECT.gdb/a00000031.gdbtable</t>
  </si>
  <si>
    <t>a00000031.gdbtablx</t>
  </si>
  <si>
    <t>DATOS/GDB_POMCA_INTERSECCION/GDB_POMCA_INTERSECCION.gdb/GDB_POMCAS_CARARE_INTERSECT.gdb/a00000031.gdbtablx</t>
  </si>
  <si>
    <t>a00000031.horizon</t>
  </si>
  <si>
    <t>DATOS/GDB_POMCA_INTERSECCION/GDB_POMCA_INTERSECCION.gdb/GDB_POMCAS_CARARE_INTERSECT.gdb/a00000031.horizon</t>
  </si>
  <si>
    <t>a00000031.spx</t>
  </si>
  <si>
    <t>DATOS/GDB_POMCA_INTERSECCION/GDB_POMCA_INTERSECCION.gdb/GDB_POMCAS_CARARE_INTERSECT.gdb/a00000031.spx</t>
  </si>
  <si>
    <t>a00000032.gdbindexes</t>
  </si>
  <si>
    <t>DATOS/GDB_POMCA_INTERSECCION/GDB_POMCA_INTERSECCION.gdb/GDB_POMCAS_CARARE_INTERSECT.gdb/a00000032.gdbindexes</t>
  </si>
  <si>
    <t>a00000032.gdbtable</t>
  </si>
  <si>
    <t>DATOS/GDB_POMCA_INTERSECCION/GDB_POMCA_INTERSECCION.gdb/GDB_POMCAS_CARARE_INTERSECT.gdb/a00000032.gdbtable</t>
  </si>
  <si>
    <t>a00000032.gdbtablx</t>
  </si>
  <si>
    <t>DATOS/GDB_POMCA_INTERSECCION/GDB_POMCA_INTERSECCION.gdb/GDB_POMCAS_CARARE_INTERSECT.gdb/a00000032.gdbtablx</t>
  </si>
  <si>
    <t>a00000032.horizon</t>
  </si>
  <si>
    <t>DATOS/GDB_POMCA_INTERSECCION/GDB_POMCA_INTERSECCION.gdb/GDB_POMCAS_CARARE_INTERSECT.gdb/a00000032.horizon</t>
  </si>
  <si>
    <t>a00000032.spx</t>
  </si>
  <si>
    <t>DATOS/GDB_POMCA_INTERSECCION/GDB_POMCA_INTERSECCION.gdb/GDB_POMCAS_CARARE_INTERSECT.gdb/a00000032.spx</t>
  </si>
  <si>
    <t>a00000033.gdbindexes</t>
  </si>
  <si>
    <t>DATOS/GDB_POMCA_INTERSECCION/GDB_POMCA_INTERSECCION.gdb/GDB_POMCAS_CARARE_INTERSECT.gdb/a00000033.gdbindexes</t>
  </si>
  <si>
    <t>a00000033.gdbtable</t>
  </si>
  <si>
    <t>DATOS/GDB_POMCA_INTERSECCION/GDB_POMCA_INTERSECCION.gdb/GDB_POMCAS_CARARE_INTERSECT.gdb/a00000033.gdbtable</t>
  </si>
  <si>
    <t>a00000033.gdbtablx</t>
  </si>
  <si>
    <t>DATOS/GDB_POMCA_INTERSECCION/GDB_POMCA_INTERSECCION.gdb/GDB_POMCAS_CARARE_INTERSECT.gdb/a00000033.gdbtablx</t>
  </si>
  <si>
    <t>a00000033.horizon</t>
  </si>
  <si>
    <t>DATOS/GDB_POMCA_INTERSECCION/GDB_POMCA_INTERSECCION.gdb/GDB_POMCAS_CARARE_INTERSECT.gdb/a00000033.horizon</t>
  </si>
  <si>
    <t>a00000033.spx</t>
  </si>
  <si>
    <t>DATOS/GDB_POMCA_INTERSECCION/GDB_POMCA_INTERSECCION.gdb/GDB_POMCAS_CARARE_INTERSECT.gdb/a00000033.spx</t>
  </si>
  <si>
    <t>a00000034.gdbindexes</t>
  </si>
  <si>
    <t>DATOS/GDB_POMCA_INTERSECCION/GDB_POMCA_INTERSECCION.gdb/GDB_POMCAS_CARARE_INTERSECT.gdb/a00000034.gdbindexes</t>
  </si>
  <si>
    <t>a00000034.gdbtable</t>
  </si>
  <si>
    <t>DATOS/GDB_POMCA_INTERSECCION/GDB_POMCA_INTERSECCION.gdb/GDB_POMCAS_CARARE_INTERSECT.gdb/a00000034.gdbtable</t>
  </si>
  <si>
    <t>a00000034.gdbtablx</t>
  </si>
  <si>
    <t>DATOS/GDB_POMCA_INTERSECCION/GDB_POMCA_INTERSECCION.gdb/GDB_POMCAS_CARARE_INTERSECT.gdb/a00000034.gdbtablx</t>
  </si>
  <si>
    <t>a00000034.horizon</t>
  </si>
  <si>
    <t>DATOS/GDB_POMCA_INTERSECCION/GDB_POMCA_INTERSECCION.gdb/GDB_POMCAS_CARARE_INTERSECT.gdb/a00000034.horizon</t>
  </si>
  <si>
    <t>a00000034.spx</t>
  </si>
  <si>
    <t>DATOS/GDB_POMCA_INTERSECCION/GDB_POMCA_INTERSECCION.gdb/GDB_POMCAS_CARARE_INTERSECT.gdb/a00000034.spx</t>
  </si>
  <si>
    <t>a00000035.gdbindexes</t>
  </si>
  <si>
    <t>DATOS/GDB_POMCA_INTERSECCION/GDB_POMCA_INTERSECCION.gdb/GDB_POMCAS_CARARE_INTERSECT.gdb/a00000035.gdbindexes</t>
  </si>
  <si>
    <t>a00000035.gdbtable</t>
  </si>
  <si>
    <t>DATOS/GDB_POMCA_INTERSECCION/GDB_POMCA_INTERSECCION.gdb/GDB_POMCAS_CARARE_INTERSECT.gdb/a00000035.gdbtable</t>
  </si>
  <si>
    <t>a00000035.gdbtablx</t>
  </si>
  <si>
    <t>DATOS/GDB_POMCA_INTERSECCION/GDB_POMCA_INTERSECCION.gdb/GDB_POMCAS_CARARE_INTERSECT.gdb/a00000035.gdbtablx</t>
  </si>
  <si>
    <t>a00000035.horizon</t>
  </si>
  <si>
    <t>DATOS/GDB_POMCA_INTERSECCION/GDB_POMCA_INTERSECCION.gdb/GDB_POMCAS_CARARE_INTERSECT.gdb/a00000035.horizon</t>
  </si>
  <si>
    <t>a00000035.spx</t>
  </si>
  <si>
    <t>DATOS/GDB_POMCA_INTERSECCION/GDB_POMCA_INTERSECCION.gdb/GDB_POMCAS_CARARE_INTERSECT.gdb/a00000035.spx</t>
  </si>
  <si>
    <t>a00000036.gdbindexes</t>
  </si>
  <si>
    <t>DATOS/GDB_POMCA_INTERSECCION/GDB_POMCA_INTERSECCION.gdb/GDB_POMCAS_CARARE_INTERSECT.gdb/a00000036.gdbindexes</t>
  </si>
  <si>
    <t>a00000036.gdbtable</t>
  </si>
  <si>
    <t>DATOS/GDB_POMCA_INTERSECCION/GDB_POMCA_INTERSECCION.gdb/GDB_POMCAS_CARARE_INTERSECT.gdb/a00000036.gdbtable</t>
  </si>
  <si>
    <t>a00000036.gdbtablx</t>
  </si>
  <si>
    <t>DATOS/GDB_POMCA_INTERSECCION/GDB_POMCA_INTERSECCION.gdb/GDB_POMCAS_CARARE_INTERSECT.gdb/a00000036.gdbtablx</t>
  </si>
  <si>
    <t>a00000036.horizon</t>
  </si>
  <si>
    <t>DATOS/GDB_POMCA_INTERSECCION/GDB_POMCA_INTERSECCION.gdb/GDB_POMCAS_CARARE_INTERSECT.gdb/a00000036.horizon</t>
  </si>
  <si>
    <t>a00000036.spx</t>
  </si>
  <si>
    <t>DATOS/GDB_POMCA_INTERSECCION/GDB_POMCA_INTERSECCION.gdb/GDB_POMCAS_CARARE_INTERSECT.gdb/a00000036.spx</t>
  </si>
  <si>
    <t>a0000003c.gdbindexes</t>
  </si>
  <si>
    <t>DATOS/GDB_POMCA_INTERSECCION/GDB_POMCA_INTERSECCION.gdb/GDB_POMCAS_CARARE_INTERSECT.gdb/a0000003c.gdbindexes</t>
  </si>
  <si>
    <t>a0000003c.gdbtable</t>
  </si>
  <si>
    <t>DATOS/GDB_POMCA_INTERSECCION/GDB_POMCA_INTERSECCION.gdb/GDB_POMCAS_CARARE_INTERSECT.gdb/a0000003c.gdbtable</t>
  </si>
  <si>
    <t>a0000003c.gdbtablx</t>
  </si>
  <si>
    <t>DATOS/GDB_POMCA_INTERSECCION/GDB_POMCA_INTERSECCION.gdb/GDB_POMCAS_CARARE_INTERSECT.gdb/a0000003c.gdbtablx</t>
  </si>
  <si>
    <t>a0000003c.horizon</t>
  </si>
  <si>
    <t>DATOS/GDB_POMCA_INTERSECCION/GDB_POMCA_INTERSECCION.gdb/GDB_POMCAS_CARARE_INTERSECT.gdb/a0000003c.horizon</t>
  </si>
  <si>
    <t>a0000003c.spx</t>
  </si>
  <si>
    <t>DATOS/GDB_POMCA_INTERSECCION/GDB_POMCA_INTERSECCION.gdb/GDB_POMCAS_CARARE_INTERSECT.gdb/a0000003c.spx</t>
  </si>
  <si>
    <t>a0000003d.gdbindexes</t>
  </si>
  <si>
    <t>DATOS/GDB_POMCA_INTERSECCION/GDB_POMCA_INTERSECCION.gdb/GDB_POMCAS_CARARE_INTERSECT.gdb/a0000003d.gdbindexes</t>
  </si>
  <si>
    <t>a0000003d.gdbtable</t>
  </si>
  <si>
    <t>DATOS/GDB_POMCA_INTERSECCION/GDB_POMCA_INTERSECCION.gdb/GDB_POMCAS_CARARE_INTERSECT.gdb/a0000003d.gdbtable</t>
  </si>
  <si>
    <t>a0000003d.gdbtablx</t>
  </si>
  <si>
    <t>DATOS/GDB_POMCA_INTERSECCION/GDB_POMCA_INTERSECCION.gdb/GDB_POMCAS_CARARE_INTERSECT.gdb/a0000003d.gdbtablx</t>
  </si>
  <si>
    <t>a0000003d.horizon</t>
  </si>
  <si>
    <t>DATOS/GDB_POMCA_INTERSECCION/GDB_POMCA_INTERSECCION.gdb/GDB_POMCAS_CARARE_INTERSECT.gdb/a0000003d.horizon</t>
  </si>
  <si>
    <t>a0000003d.spx</t>
  </si>
  <si>
    <t>DATOS/GDB_POMCA_INTERSECCION/GDB_POMCA_INTERSECCION.gdb/GDB_POMCAS_CARARE_INTERSECT.gdb/a0000003d.spx</t>
  </si>
  <si>
    <t>a00000050.gdbindexes</t>
  </si>
  <si>
    <t>DATOS/GDB_POMCA_INTERSECCION/GDB_POMCA_INTERSECCION.gdb/GDB_POMCAS_CARARE_INTERSECT.gdb/a00000050.gdbindexes</t>
  </si>
  <si>
    <t>a00000050.gdbtable</t>
  </si>
  <si>
    <t>DATOS/GDB_POMCA_INTERSECCION/GDB_POMCA_INTERSECCION.gdb/GDB_POMCAS_CARARE_INTERSECT.gdb/a00000050.gdbtable</t>
  </si>
  <si>
    <t>a00000050.gdbtablx</t>
  </si>
  <si>
    <t>DATOS/GDB_POMCA_INTERSECCION/GDB_POMCA_INTERSECCION.gdb/GDB_POMCAS_CARARE_INTERSECT.gdb/a00000050.gdbtablx</t>
  </si>
  <si>
    <t>a00000050.horizon</t>
  </si>
  <si>
    <t>DATOS/GDB_POMCA_INTERSECCION/GDB_POMCA_INTERSECCION.gdb/GDB_POMCAS_CARARE_INTERSECT.gdb/a00000050.horizon</t>
  </si>
  <si>
    <t>a00000050.spx</t>
  </si>
  <si>
    <t>DATOS/GDB_POMCA_INTERSECCION/GDB_POMCA_INTERSECCION.gdb/GDB_POMCAS_CARARE_INTERSECT.gdb/a00000050.spx</t>
  </si>
  <si>
    <t>a00000077.gdbindexes</t>
  </si>
  <si>
    <t>DATOS/GDB_POMCA_INTERSECCION/GDB_POMCA_INTERSECCION.gdb/GDB_POMCAS_CARARE_INTERSECT.gdb/a00000077.gdbindexes</t>
  </si>
  <si>
    <t>a00000077.gdbtable</t>
  </si>
  <si>
    <t>DATOS/GDB_POMCA_INTERSECCION/GDB_POMCA_INTERSECCION.gdb/GDB_POMCAS_CARARE_INTERSECT.gdb/a00000077.gdbtable</t>
  </si>
  <si>
    <t>a00000077.gdbtablx</t>
  </si>
  <si>
    <t>DATOS/GDB_POMCA_INTERSECCION/GDB_POMCA_INTERSECCION.gdb/GDB_POMCAS_CARARE_INTERSECT.gdb/a00000077.gdbtablx</t>
  </si>
  <si>
    <t>a00000077.horizon</t>
  </si>
  <si>
    <t>DATOS/GDB_POMCA_INTERSECCION/GDB_POMCA_INTERSECCION.gdb/GDB_POMCAS_CARARE_INTERSECT.gdb/a00000077.horizon</t>
  </si>
  <si>
    <t>a00000077.spx</t>
  </si>
  <si>
    <t>DATOS/GDB_POMCA_INTERSECCION/GDB_POMCA_INTERSECCION.gdb/GDB_POMCAS_CARARE_INTERSECT.gdb/a00000077.spx</t>
  </si>
  <si>
    <t>a00000078.gdbindexes</t>
  </si>
  <si>
    <t>DATOS/GDB_POMCA_INTERSECCION/GDB_POMCA_INTERSECCION.gdb/GDB_POMCAS_CARARE_INTERSECT.gdb/a00000078.gdbindexes</t>
  </si>
  <si>
    <t>a00000078.gdbtable</t>
  </si>
  <si>
    <t>DATOS/GDB_POMCA_INTERSECCION/GDB_POMCA_INTERSECCION.gdb/GDB_POMCAS_CARARE_INTERSECT.gdb/a00000078.gdbtable</t>
  </si>
  <si>
    <t>a00000078.gdbtablx</t>
  </si>
  <si>
    <t>DATOS/GDB_POMCA_INTERSECCION/GDB_POMCA_INTERSECCION.gdb/GDB_POMCAS_CARARE_INTERSECT.gdb/a00000078.gdbtablx</t>
  </si>
  <si>
    <t>a00000078.horizon</t>
  </si>
  <si>
    <t>DATOS/GDB_POMCA_INTERSECCION/GDB_POMCA_INTERSECCION.gdb/GDB_POMCAS_CARARE_INTERSECT.gdb/a00000078.horizon</t>
  </si>
  <si>
    <t>a00000078.spx</t>
  </si>
  <si>
    <t>DATOS/GDB_POMCA_INTERSECCION/GDB_POMCA_INTERSECCION.gdb/GDB_POMCAS_CARARE_INTERSECT.gdb/a00000078.spx</t>
  </si>
  <si>
    <t>a00000079.gdbindexes</t>
  </si>
  <si>
    <t>DATOS/GDB_POMCA_INTERSECCION/GDB_POMCA_INTERSECCION.gdb/GDB_POMCAS_CARARE_INTERSECT.gdb/a00000079.gdbindexes</t>
  </si>
  <si>
    <t>a00000079.gdbtable</t>
  </si>
  <si>
    <t>DATOS/GDB_POMCA_INTERSECCION/GDB_POMCA_INTERSECCION.gdb/GDB_POMCAS_CARARE_INTERSECT.gdb/a00000079.gdbtable</t>
  </si>
  <si>
    <t>a00000079.gdbtablx</t>
  </si>
  <si>
    <t>DATOS/GDB_POMCA_INTERSECCION/GDB_POMCA_INTERSECCION.gdb/GDB_POMCAS_CARARE_INTERSECT.gdb/a00000079.gdbtablx</t>
  </si>
  <si>
    <t>a00000079.horizon</t>
  </si>
  <si>
    <t>DATOS/GDB_POMCA_INTERSECCION/GDB_POMCA_INTERSECCION.gdb/GDB_POMCAS_CARARE_INTERSECT.gdb/a00000079.horizon</t>
  </si>
  <si>
    <t>a00000079.spx</t>
  </si>
  <si>
    <t>DATOS/GDB_POMCA_INTERSECCION/GDB_POMCA_INTERSECCION.gdb/GDB_POMCAS_CARARE_INTERSECT.gdb/a00000079.spx</t>
  </si>
  <si>
    <t>a0000007a.gdbindexes</t>
  </si>
  <si>
    <t>DATOS/GDB_POMCA_INTERSECCION/GDB_POMCA_INTERSECCION.gdb/GDB_POMCAS_CARARE_INTERSECT.gdb/a0000007a.gdbindexes</t>
  </si>
  <si>
    <t>a0000007a.gdbtable</t>
  </si>
  <si>
    <t>DATOS/GDB_POMCA_INTERSECCION/GDB_POMCA_INTERSECCION.gdb/GDB_POMCAS_CARARE_INTERSECT.gdb/a0000007a.gdbtable</t>
  </si>
  <si>
    <t>a0000007a.gdbtablx</t>
  </si>
  <si>
    <t>DATOS/GDB_POMCA_INTERSECCION/GDB_POMCA_INTERSECCION.gdb/GDB_POMCAS_CARARE_INTERSECT.gdb/a0000007a.gdbtablx</t>
  </si>
  <si>
    <t>a0000007a.horizon</t>
  </si>
  <si>
    <t>DATOS/GDB_POMCA_INTERSECCION/GDB_POMCA_INTERSECCION.gdb/GDB_POMCAS_CARARE_INTERSECT.gdb/a0000007a.horizon</t>
  </si>
  <si>
    <t>a0000007a.spx</t>
  </si>
  <si>
    <t>DATOS/GDB_POMCA_INTERSECCION/GDB_POMCA_INTERSECCION.gdb/GDB_POMCAS_CARARE_INTERSECT.gdb/a0000007a.spx</t>
  </si>
  <si>
    <t>a0000007b.gdbindexes</t>
  </si>
  <si>
    <t>DATOS/GDB_POMCA_INTERSECCION/GDB_POMCA_INTERSECCION.gdb/GDB_POMCAS_CARARE_INTERSECT.gdb/a0000007b.gdbindexes</t>
  </si>
  <si>
    <t>a0000007b.gdbtable</t>
  </si>
  <si>
    <t>DATOS/GDB_POMCA_INTERSECCION/GDB_POMCA_INTERSECCION.gdb/GDB_POMCAS_CARARE_INTERSECT.gdb/a0000007b.gdbtable</t>
  </si>
  <si>
    <t>a0000007b.gdbtablx</t>
  </si>
  <si>
    <t>DATOS/GDB_POMCA_INTERSECCION/GDB_POMCA_INTERSECCION.gdb/GDB_POMCAS_CARARE_INTERSECT.gdb/a0000007b.gdbtablx</t>
  </si>
  <si>
    <t>a0000007b.horizon</t>
  </si>
  <si>
    <t>DATOS/GDB_POMCA_INTERSECCION/GDB_POMCA_INTERSECCION.gdb/GDB_POMCAS_CARARE_INTERSECT.gdb/a0000007b.horizon</t>
  </si>
  <si>
    <t>a0000007b.spx</t>
  </si>
  <si>
    <t>DATOS/GDB_POMCA_INTERSECCION/GDB_POMCA_INTERSECCION.gdb/GDB_POMCAS_CARARE_INTERSECT.gdb/a0000007b.spx</t>
  </si>
  <si>
    <t>a0000007c.gdbindexes</t>
  </si>
  <si>
    <t>DATOS/GDB_POMCA_INTERSECCION/GDB_POMCA_INTERSECCION.gdb/GDB_POMCAS_CARARE_INTERSECT.gdb/a0000007c.gdbindexes</t>
  </si>
  <si>
    <t>a0000007c.gdbtable</t>
  </si>
  <si>
    <t>DATOS/GDB_POMCA_INTERSECCION/GDB_POMCA_INTERSECCION.gdb/GDB_POMCAS_CARARE_INTERSECT.gdb/a0000007c.gdbtable</t>
  </si>
  <si>
    <t>a0000007c.gdbtablx</t>
  </si>
  <si>
    <t>DATOS/GDB_POMCA_INTERSECCION/GDB_POMCA_INTERSECCION.gdb/GDB_POMCAS_CARARE_INTERSECT.gdb/a0000007c.gdbtablx</t>
  </si>
  <si>
    <t>a0000007c.horizon</t>
  </si>
  <si>
    <t>DATOS/GDB_POMCA_INTERSECCION/GDB_POMCA_INTERSECCION.gdb/GDB_POMCAS_CARARE_INTERSECT.gdb/a0000007c.horizon</t>
  </si>
  <si>
    <t>a0000007c.spx</t>
  </si>
  <si>
    <t>DATOS/GDB_POMCA_INTERSECCION/GDB_POMCA_INTERSECCION.gdb/GDB_POMCAS_CARARE_INTERSECT.gdb/a0000007c.spx</t>
  </si>
  <si>
    <t>a0000007d.gdbindexes</t>
  </si>
  <si>
    <t>DATOS/GDB_POMCA_INTERSECCION/GDB_POMCA_INTERSECCION.gdb/GDB_POMCAS_CARARE_INTERSECT.gdb/a0000007d.gdbindexes</t>
  </si>
  <si>
    <t>a0000007d.gdbtable</t>
  </si>
  <si>
    <t>DATOS/GDB_POMCA_INTERSECCION/GDB_POMCA_INTERSECCION.gdb/GDB_POMCAS_CARARE_INTERSECT.gdb/a0000007d.gdbtable</t>
  </si>
  <si>
    <t>a0000007d.gdbtablx</t>
  </si>
  <si>
    <t>DATOS/GDB_POMCA_INTERSECCION/GDB_POMCA_INTERSECCION.gdb/GDB_POMCAS_CARARE_INTERSECT.gdb/a0000007d.gdbtablx</t>
  </si>
  <si>
    <t>a0000007d.horizon</t>
  </si>
  <si>
    <t>DATOS/GDB_POMCA_INTERSECCION/GDB_POMCA_INTERSECCION.gdb/GDB_POMCAS_CARARE_INTERSECT.gdb/a0000007d.horizon</t>
  </si>
  <si>
    <t>a0000007d.spx</t>
  </si>
  <si>
    <t>DATOS/GDB_POMCA_INTERSECCION/GDB_POMCA_INTERSECCION.gdb/GDB_POMCAS_CARARE_INTERSECT.gdb/a0000007d.spx</t>
  </si>
  <si>
    <t>a0000007e.gdbindexes</t>
  </si>
  <si>
    <t>DATOS/GDB_POMCA_INTERSECCION/GDB_POMCA_INTERSECCION.gdb/GDB_POMCAS_CARARE_INTERSECT.gdb/a0000007e.gdbindexes</t>
  </si>
  <si>
    <t>a0000007e.gdbtable</t>
  </si>
  <si>
    <t>DATOS/GDB_POMCA_INTERSECCION/GDB_POMCA_INTERSECCION.gdb/GDB_POMCAS_CARARE_INTERSECT.gdb/a0000007e.gdbtable</t>
  </si>
  <si>
    <t>a0000007e.gdbtablx</t>
  </si>
  <si>
    <t>DATOS/GDB_POMCA_INTERSECCION/GDB_POMCA_INTERSECCION.gdb/GDB_POMCAS_CARARE_INTERSECT.gdb/a0000007e.gdbtablx</t>
  </si>
  <si>
    <t>a0000007e.horizon</t>
  </si>
  <si>
    <t>DATOS/GDB_POMCA_INTERSECCION/GDB_POMCA_INTERSECCION.gdb/GDB_POMCAS_CARARE_INTERSECT.gdb/a0000007e.horizon</t>
  </si>
  <si>
    <t>a0000007e.spx</t>
  </si>
  <si>
    <t>DATOS/GDB_POMCA_INTERSECCION/GDB_POMCA_INTERSECCION.gdb/GDB_POMCAS_CARARE_INTERSECT.gdb/a0000007e.spx</t>
  </si>
  <si>
    <t>a0000007f.gdbindexes</t>
  </si>
  <si>
    <t>DATOS/GDB_POMCA_INTERSECCION/GDB_POMCA_INTERSECCION.gdb/GDB_POMCAS_CARARE_INTERSECT.gdb/a0000007f.gdbindexes</t>
  </si>
  <si>
    <t>a0000007f.gdbtable</t>
  </si>
  <si>
    <t>DATOS/GDB_POMCA_INTERSECCION/GDB_POMCA_INTERSECCION.gdb/GDB_POMCAS_CARARE_INTERSECT.gdb/a0000007f.gdbtable</t>
  </si>
  <si>
    <t>a0000007f.gdbtablx</t>
  </si>
  <si>
    <t>DATOS/GDB_POMCA_INTERSECCION/GDB_POMCA_INTERSECCION.gdb/GDB_POMCAS_CARARE_INTERSECT.gdb/a0000007f.gdbtablx</t>
  </si>
  <si>
    <t>a0000007f.horizon</t>
  </si>
  <si>
    <t>DATOS/GDB_POMCA_INTERSECCION/GDB_POMCA_INTERSECCION.gdb/GDB_POMCAS_CARARE_INTERSECT.gdb/a0000007f.horizon</t>
  </si>
  <si>
    <t>a0000007f.spx</t>
  </si>
  <si>
    <t>DATOS/GDB_POMCA_INTERSECCION/GDB_POMCA_INTERSECCION.gdb/GDB_POMCAS_CARARE_INTERSECT.gdb/a0000007f.spx</t>
  </si>
  <si>
    <t>a00000080.gdbindexes</t>
  </si>
  <si>
    <t>DATOS/GDB_POMCA_INTERSECCION/GDB_POMCA_INTERSECCION.gdb/GDB_POMCAS_CARARE_INTERSECT.gdb/a00000080.gdbindexes</t>
  </si>
  <si>
    <t>a00000080.gdbtable</t>
  </si>
  <si>
    <t>DATOS/GDB_POMCA_INTERSECCION/GDB_POMCA_INTERSECCION.gdb/GDB_POMCAS_CARARE_INTERSECT.gdb/a00000080.gdbtable</t>
  </si>
  <si>
    <t>a00000080.gdbtablx</t>
  </si>
  <si>
    <t>DATOS/GDB_POMCA_INTERSECCION/GDB_POMCA_INTERSECCION.gdb/GDB_POMCAS_CARARE_INTERSECT.gdb/a00000080.gdbtablx</t>
  </si>
  <si>
    <t>a00000080.horizon</t>
  </si>
  <si>
    <t>DATOS/GDB_POMCA_INTERSECCION/GDB_POMCA_INTERSECCION.gdb/GDB_POMCAS_CARARE_INTERSECT.gdb/a00000080.horizon</t>
  </si>
  <si>
    <t>a00000080.spx</t>
  </si>
  <si>
    <t>DATOS/GDB_POMCA_INTERSECCION/GDB_POMCA_INTERSECCION.gdb/GDB_POMCAS_CARARE_INTERSECT.gdb/a00000080.spx</t>
  </si>
  <si>
    <t>a00000081.gdbindexes</t>
  </si>
  <si>
    <t>DATOS/GDB_POMCA_INTERSECCION/GDB_POMCA_INTERSECCION.gdb/GDB_POMCAS_CARARE_INTERSECT.gdb/a00000081.gdbindexes</t>
  </si>
  <si>
    <t>a00000081.gdbtable</t>
  </si>
  <si>
    <t>DATOS/GDB_POMCA_INTERSECCION/GDB_POMCA_INTERSECCION.gdb/GDB_POMCAS_CARARE_INTERSECT.gdb/a00000081.gdbtable</t>
  </si>
  <si>
    <t>a00000081.gdbtablx</t>
  </si>
  <si>
    <t>DATOS/GDB_POMCA_INTERSECCION/GDB_POMCA_INTERSECCION.gdb/GDB_POMCAS_CARARE_INTERSECT.gdb/a00000081.gdbtablx</t>
  </si>
  <si>
    <t>a00000081.horizon</t>
  </si>
  <si>
    <t>DATOS/GDB_POMCA_INTERSECCION/GDB_POMCA_INTERSECCION.gdb/GDB_POMCAS_CARARE_INTERSECT.gdb/a00000081.horizon</t>
  </si>
  <si>
    <t>a00000081.spx</t>
  </si>
  <si>
    <t>DATOS/GDB_POMCA_INTERSECCION/GDB_POMCA_INTERSECCION.gdb/GDB_POMCAS_CARARE_INTERSECT.gdb/a00000081.spx</t>
  </si>
  <si>
    <t>a00000082.gdbindexes</t>
  </si>
  <si>
    <t>DATOS/GDB_POMCA_INTERSECCION/GDB_POMCA_INTERSECCION.gdb/GDB_POMCAS_CARARE_INTERSECT.gdb/a00000082.gdbindexes</t>
  </si>
  <si>
    <t>a00000082.gdbtable</t>
  </si>
  <si>
    <t>DATOS/GDB_POMCA_INTERSECCION/GDB_POMCA_INTERSECCION.gdb/GDB_POMCAS_CARARE_INTERSECT.gdb/a00000082.gdbtable</t>
  </si>
  <si>
    <t>a00000082.gdbtablx</t>
  </si>
  <si>
    <t>DATOS/GDB_POMCA_INTERSECCION/GDB_POMCA_INTERSECCION.gdb/GDB_POMCAS_CARARE_INTERSECT.gdb/a00000082.gdbtablx</t>
  </si>
  <si>
    <t>a00000082.horizon</t>
  </si>
  <si>
    <t>DATOS/GDB_POMCA_INTERSECCION/GDB_POMCA_INTERSECCION.gdb/GDB_POMCAS_CARARE_INTERSECT.gdb/a00000082.horizon</t>
  </si>
  <si>
    <t>a00000082.spx</t>
  </si>
  <si>
    <t>DATOS/GDB_POMCA_INTERSECCION/GDB_POMCA_INTERSECCION.gdb/GDB_POMCAS_CARARE_INTERSECT.gdb/a00000082.spx</t>
  </si>
  <si>
    <t>a00000083.gdbindexes</t>
  </si>
  <si>
    <t>DATOS/GDB_POMCA_INTERSECCION/GDB_POMCA_INTERSECCION.gdb/GDB_POMCAS_CARARE_INTERSECT.gdb/a00000083.gdbindexes</t>
  </si>
  <si>
    <t>a00000083.gdbtable</t>
  </si>
  <si>
    <t>DATOS/GDB_POMCA_INTERSECCION/GDB_POMCA_INTERSECCION.gdb/GDB_POMCAS_CARARE_INTERSECT.gdb/a00000083.gdbtable</t>
  </si>
  <si>
    <t>a00000083.gdbtablx</t>
  </si>
  <si>
    <t>DATOS/GDB_POMCA_INTERSECCION/GDB_POMCA_INTERSECCION.gdb/GDB_POMCAS_CARARE_INTERSECT.gdb/a00000083.gdbtablx</t>
  </si>
  <si>
    <t>a00000083.horizon</t>
  </si>
  <si>
    <t>DATOS/GDB_POMCA_INTERSECCION/GDB_POMCA_INTERSECCION.gdb/GDB_POMCAS_CARARE_INTERSECT.gdb/a00000083.horizon</t>
  </si>
  <si>
    <t>a00000083.spx</t>
  </si>
  <si>
    <t>DATOS/GDB_POMCA_INTERSECCION/GDB_POMCA_INTERSECCION.gdb/GDB_POMCAS_CARARE_INTERSECT.gdb/a00000083.spx</t>
  </si>
  <si>
    <t>a0000008e.gdbindexes</t>
  </si>
  <si>
    <t>DATOS/GDB_POMCA_INTERSECCION/GDB_POMCA_INTERSECCION.gdb/GDB_POMCAS_CARARE_INTERSECT.gdb/a0000008e.gdbindexes</t>
  </si>
  <si>
    <t>a0000008e.gdbtable</t>
  </si>
  <si>
    <t>DATOS/GDB_POMCA_INTERSECCION/GDB_POMCA_INTERSECCION.gdb/GDB_POMCAS_CARARE_INTERSECT.gdb/a0000008e.gdbtable</t>
  </si>
  <si>
    <t>a0000008e.gdbtablx</t>
  </si>
  <si>
    <t>DATOS/GDB_POMCA_INTERSECCION/GDB_POMCA_INTERSECCION.gdb/GDB_POMCAS_CARARE_INTERSECT.gdb/a0000008e.gdbtablx</t>
  </si>
  <si>
    <t>a0000008e.horizon</t>
  </si>
  <si>
    <t>DATOS/GDB_POMCA_INTERSECCION/GDB_POMCA_INTERSECCION.gdb/GDB_POMCAS_CARARE_INTERSECT.gdb/a0000008e.horizon</t>
  </si>
  <si>
    <t>a0000008e.spx</t>
  </si>
  <si>
    <t>DATOS/GDB_POMCA_INTERSECCION/GDB_POMCA_INTERSECCION.gdb/GDB_POMCAS_CARARE_INTERSECT.gdb/a0000008e.spx</t>
  </si>
  <si>
    <t>a0000008f.gdbindexes</t>
  </si>
  <si>
    <t>DATOS/GDB_POMCA_INTERSECCION/GDB_POMCA_INTERSECCION.gdb/GDB_POMCAS_CARARE_INTERSECT.gdb/a0000008f.gdbindexes</t>
  </si>
  <si>
    <t>a0000008f.gdbtable</t>
  </si>
  <si>
    <t>DATOS/GDB_POMCA_INTERSECCION/GDB_POMCA_INTERSECCION.gdb/GDB_POMCAS_CARARE_INTERSECT.gdb/a0000008f.gdbtable</t>
  </si>
  <si>
    <t>a0000008f.gdbtablx</t>
  </si>
  <si>
    <t>DATOS/GDB_POMCA_INTERSECCION/GDB_POMCA_INTERSECCION.gdb/GDB_POMCAS_CARARE_INTERSECT.gdb/a0000008f.gdbtablx</t>
  </si>
  <si>
    <t>a0000008f.horizon</t>
  </si>
  <si>
    <t>DATOS/GDB_POMCA_INTERSECCION/GDB_POMCA_INTERSECCION.gdb/GDB_POMCAS_CARARE_INTERSECT.gdb/a0000008f.horizon</t>
  </si>
  <si>
    <t>a0000008f.spx</t>
  </si>
  <si>
    <t>DATOS/GDB_POMCA_INTERSECCION/GDB_POMCA_INTERSECCION.gdb/GDB_POMCAS_CARARE_INTERSECT.gdb/a0000008f.spx</t>
  </si>
  <si>
    <t>a00000090.gdbindexes</t>
  </si>
  <si>
    <t>DATOS/GDB_POMCA_INTERSECCION/GDB_POMCA_INTERSECCION.gdb/GDB_POMCAS_CARARE_INTERSECT.gdb/a00000090.gdbindexes</t>
  </si>
  <si>
    <t>a00000090.gdbtable</t>
  </si>
  <si>
    <t>DATOS/GDB_POMCA_INTERSECCION/GDB_POMCA_INTERSECCION.gdb/GDB_POMCAS_CARARE_INTERSECT.gdb/a00000090.gdbtable</t>
  </si>
  <si>
    <t>a00000090.gdbtablx</t>
  </si>
  <si>
    <t>DATOS/GDB_POMCA_INTERSECCION/GDB_POMCA_INTERSECCION.gdb/GDB_POMCAS_CARARE_INTERSECT.gdb/a00000090.gdbtablx</t>
  </si>
  <si>
    <t>a00000090.horizon</t>
  </si>
  <si>
    <t>DATOS/GDB_POMCA_INTERSECCION/GDB_POMCA_INTERSECCION.gdb/GDB_POMCAS_CARARE_INTERSECT.gdb/a00000090.horizon</t>
  </si>
  <si>
    <t>a00000090.spx</t>
  </si>
  <si>
    <t>DATOS/GDB_POMCA_INTERSECCION/GDB_POMCA_INTERSECCION.gdb/GDB_POMCAS_CARARE_INTERSECT.gdb/a00000090.spx</t>
  </si>
  <si>
    <t>a00000091.gdbindexes</t>
  </si>
  <si>
    <t>DATOS/GDB_POMCA_INTERSECCION/GDB_POMCA_INTERSECCION.gdb/GDB_POMCAS_CARARE_INTERSECT.gdb/a00000091.gdbindexes</t>
  </si>
  <si>
    <t>a00000091.gdbtable</t>
  </si>
  <si>
    <t>DATOS/GDB_POMCA_INTERSECCION/GDB_POMCA_INTERSECCION.gdb/GDB_POMCAS_CARARE_INTERSECT.gdb/a00000091.gdbtable</t>
  </si>
  <si>
    <t>a00000091.gdbtablx</t>
  </si>
  <si>
    <t>DATOS/GDB_POMCA_INTERSECCION/GDB_POMCA_INTERSECCION.gdb/GDB_POMCAS_CARARE_INTERSECT.gdb/a00000091.gdbtablx</t>
  </si>
  <si>
    <t>a00000091.horizon</t>
  </si>
  <si>
    <t>DATOS/GDB_POMCA_INTERSECCION/GDB_POMCA_INTERSECCION.gdb/GDB_POMCAS_CARARE_INTERSECT.gdb/a00000091.horizon</t>
  </si>
  <si>
    <t>a000000d2.gdbindexes</t>
  </si>
  <si>
    <t>DATOS/GDB_POMCA_INTERSECCION/GDB_POMCA_INTERSECCION.gdb/GDB_POMCAS_CARARE_INTERSECT.gdb/a000000d2.gdbindexes</t>
  </si>
  <si>
    <t>a000000d2.gdbtable</t>
  </si>
  <si>
    <t>DATOS/GDB_POMCA_INTERSECCION/GDB_POMCA_INTERSECCION.gdb/GDB_POMCAS_CARARE_INTERSECT.gdb/a000000d2.gdbtable</t>
  </si>
  <si>
    <t>a000000d2.gdbtablx</t>
  </si>
  <si>
    <t>DATOS/GDB_POMCA_INTERSECCION/GDB_POMCA_INTERSECCION.gdb/GDB_POMCAS_CARARE_INTERSECT.gdb/a000000d2.gdbtablx</t>
  </si>
  <si>
    <t>a000000d2.horizon</t>
  </si>
  <si>
    <t>DATOS/GDB_POMCA_INTERSECCION/GDB_POMCA_INTERSECCION.gdb/GDB_POMCAS_CARARE_INTERSECT.gdb/a000000d2.horizon</t>
  </si>
  <si>
    <t>a000000d2.spx</t>
  </si>
  <si>
    <t>DATOS/GDB_POMCA_INTERSECCION/GDB_POMCA_INTERSECCION.gdb/GDB_POMCAS_CARARE_INTERSECT.gdb/a000000d2.spx</t>
  </si>
  <si>
    <t>a000000d3.gdbindexes</t>
  </si>
  <si>
    <t>DATOS/GDB_POMCA_INTERSECCION/GDB_POMCA_INTERSECCION.gdb/GDB_POMCAS_CARARE_INTERSECT.gdb/a000000d3.gdbindexes</t>
  </si>
  <si>
    <t>a000000d3.gdbtable</t>
  </si>
  <si>
    <t>DATOS/GDB_POMCA_INTERSECCION/GDB_POMCA_INTERSECCION.gdb/GDB_POMCAS_CARARE_INTERSECT.gdb/a000000d3.gdbtable</t>
  </si>
  <si>
    <t>a000000d3.gdbtablx</t>
  </si>
  <si>
    <t>DATOS/GDB_POMCA_INTERSECCION/GDB_POMCA_INTERSECCION.gdb/GDB_POMCAS_CARARE_INTERSECT.gdb/a000000d3.gdbtablx</t>
  </si>
  <si>
    <t>a000000d3.horizon</t>
  </si>
  <si>
    <t>DATOS/GDB_POMCA_INTERSECCION/GDB_POMCA_INTERSECCION.gdb/GDB_POMCAS_CARARE_INTERSECT.gdb/a000000d3.horizon</t>
  </si>
  <si>
    <t>a000000d3.spx</t>
  </si>
  <si>
    <t>DATOS/GDB_POMCA_INTERSECCION/GDB_POMCA_INTERSECCION.gdb/GDB_POMCAS_CARARE_INTERSECT.gdb/a000000d3.spx</t>
  </si>
  <si>
    <t>a000000d4.gdbindexes</t>
  </si>
  <si>
    <t>DATOS/GDB_POMCA_INTERSECCION/GDB_POMCA_INTERSECCION.gdb/GDB_POMCAS_CARARE_INTERSECT.gdb/a000000d4.gdbindexes</t>
  </si>
  <si>
    <t>a000000d4.gdbtable</t>
  </si>
  <si>
    <t>DATOS/GDB_POMCA_INTERSECCION/GDB_POMCA_INTERSECCION.gdb/GDB_POMCAS_CARARE_INTERSECT.gdb/a000000d4.gdbtable</t>
  </si>
  <si>
    <t>a000000d4.gdbtablx</t>
  </si>
  <si>
    <t>DATOS/GDB_POMCA_INTERSECCION/GDB_POMCA_INTERSECCION.gdb/GDB_POMCAS_CARARE_INTERSECT.gdb/a000000d4.gdbtablx</t>
  </si>
  <si>
    <t>a000000d4.horizon</t>
  </si>
  <si>
    <t>DATOS/GDB_POMCA_INTERSECCION/GDB_POMCA_INTERSECCION.gdb/GDB_POMCAS_CARARE_INTERSECT.gdb/a000000d4.horizon</t>
  </si>
  <si>
    <t>a000000d4.spx</t>
  </si>
  <si>
    <t>DATOS/GDB_POMCA_INTERSECCION/GDB_POMCA_INTERSECCION.gdb/GDB_POMCAS_CARARE_INTERSECT.gdb/a000000d4.spx</t>
  </si>
  <si>
    <t>DATOS/GDB_POMCA_INTERSECCION/GDB_POMCA_INTERSECCION.gdb/GDB_POMCAS_CARARE_INTERSECT.gdb/gdb</t>
  </si>
  <si>
    <t>DATOS/GDB_POMCA_INTERSECCION/GDB_POMCA_INTERSECCION.gdb/GDB_POMCAS_CARARE_INTERSECT.gdb/timestamps</t>
  </si>
  <si>
    <t>QGIS-OSGeo4W-3.40.4-1.msi</t>
  </si>
  <si>
    <t>QGIS 3.34.8/QGIS-OSGeo4W-3.40.4-1.msi</t>
  </si>
  <si>
    <t>7z2409-x64.exe</t>
  </si>
  <si>
    <t>.exe</t>
  </si>
  <si>
    <t>QGIS 3.34.8/Complementos/7z2409-x64.exe</t>
  </si>
  <si>
    <t>GRASS GIS 8.3.2.lnk</t>
  </si>
  <si>
    <t>.lnk</t>
  </si>
  <si>
    <t>QGIS 3.34.8/Complementos/GRASS GIS 8.3.2.lnk</t>
  </si>
  <si>
    <t>OSGeo4W Setup.lnk</t>
  </si>
  <si>
    <t>QGIS 3.34.8/Complementos/OSGeo4W Setup.lnk</t>
  </si>
  <si>
    <t>OSGeo4W Shell.lnk</t>
  </si>
  <si>
    <t>QGIS 3.34.8/Complementos/OSGeo4W Shell.lnk</t>
  </si>
  <si>
    <t>QGIS Desktop 3.34.8.lnk</t>
  </si>
  <si>
    <t>QGIS 3.34.8/Complementos/QGIS Desktop 3.34.8.lnk</t>
  </si>
  <si>
    <t>Qt Designer with QGIS 3.34.8 custom widgets.lnk</t>
  </si>
  <si>
    <t>QGIS 3.34.8/Complementos/Qt Designer with QGIS 3.34.8 custom widgets.lnk</t>
  </si>
  <si>
    <t>SAGA GIS 9.3.1.lnk</t>
  </si>
  <si>
    <t>QGIS 3.34.8/Complementos/SAGA GIS 9.3.1.lnk</t>
  </si>
  <si>
    <t>Diccionarios de datos del POMCA</t>
  </si>
  <si>
    <t>DATOS/DICCIONARIO DE DATOS. Se excluyen los temporales de Excel.</t>
  </si>
  <si>
    <t>Grupo</t>
  </si>
  <si>
    <t>Diccionario</t>
  </si>
  <si>
    <t>Capas descritas</t>
  </si>
  <si>
    <t>Campos descritos</t>
  </si>
  <si>
    <t>Hojas del libro</t>
  </si>
  <si>
    <t>ACOTAMIENTO</t>
  </si>
  <si>
    <t>ESTRUCTURA, CAPAS GEOGRÁFICAS, TABLAS, DOMINIOS, Obligación - Condición</t>
  </si>
  <si>
    <t>ESTRUCTURA, CAPAS GEOGRÁFICAS, DOMINIOS, RASTER</t>
  </si>
  <si>
    <t>ESTRUCTURA, CAPAS GEOGRÁFICAS, DOMINIOS</t>
  </si>
  <si>
    <t>ESTRUCTURA, CAPAS GEOGRÁFICAS, TABLAS, DOMINIOS</t>
  </si>
  <si>
    <t>ESTRUCTURA, CAPAS GEOGRÁFICAS</t>
  </si>
  <si>
    <t>CARTOGRAFÍA BASE</t>
  </si>
  <si>
    <t>ESTRUCTURA, DICCIONARIO, TABLAS, DOMINIOS</t>
  </si>
  <si>
    <t>LÍNEA BASE</t>
  </si>
  <si>
    <t>ESTRUCTURA, CAPAS GEOGRÁFICAS, TABLAS, DOMINIO, Obligación - Condición</t>
  </si>
  <si>
    <t>ESTRUCTURA, CAPAS GEOGRÁFICAS, DOMINIOS, Obligación - Condición</t>
  </si>
  <si>
    <t>ESTRUCTURA, CAPAS GEOGRÁFICAS, DOMINIOS, VARIABLES MORFOMÉTRICAS</t>
  </si>
  <si>
    <t>ESTRUCTURA , CAPAS GEOGRÁFICAS, TABLAS, DOMINIOS</t>
  </si>
  <si>
    <t>ORDENAMIENTO HÍDRICO</t>
  </si>
  <si>
    <t>ESTRUCTURA, CAPAS GEOGRÁFICAS, TABLAS, DOMINIOS, RASTER</t>
  </si>
  <si>
    <t>TOTAL</t>
  </si>
  <si>
    <t>El diccionario de CARTOGRAFIA BASE aparece con 0 capas: su libro no usa la estructura 'Feature Class / CAMPO' que si siguen los otros 16.</t>
  </si>
  <si>
    <t>Capas descritas en los diccionarios de datos</t>
  </si>
  <si>
    <t>Extraidas de la hoja 'CAPAS GEOGRAFICAS' de cada diccionario.</t>
  </si>
  <si>
    <t>Capa</t>
  </si>
  <si>
    <t>Geometria</t>
  </si>
  <si>
    <t>Campos</t>
  </si>
  <si>
    <t>Componente Ecosistemico</t>
  </si>
  <si>
    <t>Polígono</t>
  </si>
  <si>
    <t>PuntoMuestreoFlora</t>
  </si>
  <si>
    <t>Punto</t>
  </si>
  <si>
    <t>VariableH</t>
  </si>
  <si>
    <t>VariableN</t>
  </si>
  <si>
    <t>CoberturaTierra</t>
  </si>
  <si>
    <t>Cauce_Permanente</t>
  </si>
  <si>
    <t>Cauce_Permanente_Preliminar</t>
  </si>
  <si>
    <t>Geoformas_Cauce_Permanente</t>
  </si>
  <si>
    <t>GeoformasAsociadasManantiales</t>
  </si>
  <si>
    <t>Componente_Geomorfologico</t>
  </si>
  <si>
    <t>UnidadGeomorfologicaIGAC</t>
  </si>
  <si>
    <t>UnidadGeomorfologicaSGC</t>
  </si>
  <si>
    <t>Pendiente</t>
  </si>
  <si>
    <t>ProcesoMorfodinamicoPG</t>
  </si>
  <si>
    <t>ProcesoMorfodinamicoLN</t>
  </si>
  <si>
    <t>Línea</t>
  </si>
  <si>
    <t>ProcesoMorfodinamicoPT</t>
  </si>
  <si>
    <t>ProcesoMorfodinamicosRH</t>
  </si>
  <si>
    <t>Tramos_Centro_Cauce</t>
  </si>
  <si>
    <t>Tramos_Centro_Cauce_Buffer</t>
  </si>
  <si>
    <t>Poligono</t>
  </si>
  <si>
    <t>Tramos_Criterio2_Indice_SL</t>
  </si>
  <si>
    <t>Tramos_Criterio3_Criterio4_SI_CI_Fajas</t>
  </si>
  <si>
    <t>Linea</t>
  </si>
  <si>
    <t>UM_Criterio1_Analisis_Aditivo</t>
  </si>
  <si>
    <t>UM_Criterio2_Ugeomorfologicas</t>
  </si>
  <si>
    <t>UM_Tramo</t>
  </si>
  <si>
    <t>Perfiles_Transversales</t>
  </si>
  <si>
    <t>Analisis_Aditivo_Fecha1_Fecha2_Fecha3</t>
  </si>
  <si>
    <t>Analisis Bitemporal_Fecha1_Fecha2</t>
  </si>
  <si>
    <t>Analisis_Bitemporal_Fecha2_Fecha3</t>
  </si>
  <si>
    <t>Analisis_Bitemporal_Fecha1_Fecha3</t>
  </si>
  <si>
    <t>CaucePermanente_Fecha1</t>
  </si>
  <si>
    <t>CaucePermanente_Fecha2</t>
  </si>
  <si>
    <t>CaucePermanente_Fecha3</t>
  </si>
  <si>
    <t>limite_Hidrológico</t>
  </si>
  <si>
    <t>Vlrs_Mod_Hidraulico</t>
  </si>
  <si>
    <t>Modelo_Hidrologico</t>
  </si>
  <si>
    <t>CaucePermanenteLotico</t>
  </si>
  <si>
    <t>EscenAmenInunda</t>
  </si>
  <si>
    <t>EscenAmenAvenTorren</t>
  </si>
  <si>
    <t>Educacion_PT</t>
  </si>
  <si>
    <t>Educacion_PG</t>
  </si>
  <si>
    <t>Salud</t>
  </si>
  <si>
    <t>Poblacion</t>
  </si>
  <si>
    <t>Vivienda</t>
  </si>
  <si>
    <t>Acueducto_PT</t>
  </si>
  <si>
    <t>Acueducto_PG</t>
  </si>
  <si>
    <t>Asoc_Comunitarias _PT</t>
  </si>
  <si>
    <t>Asoc_Comunitarias_PG</t>
  </si>
  <si>
    <t>S_B_Aguas_Servidas</t>
  </si>
  <si>
    <t>S_B_Comb_Cocc_Alim</t>
  </si>
  <si>
    <t>Base_Actores</t>
  </si>
  <si>
    <t>Liderazgo</t>
  </si>
  <si>
    <t>Instituciones_Educativas</t>
  </si>
  <si>
    <t>Parques</t>
  </si>
  <si>
    <t>Polideportivos</t>
  </si>
  <si>
    <t>Casa_Cultura</t>
  </si>
  <si>
    <t>Cancha_Futbol</t>
  </si>
  <si>
    <t>Subestacion_Policial</t>
  </si>
  <si>
    <t>Matadero</t>
  </si>
  <si>
    <t>Centro_Salud</t>
  </si>
  <si>
    <t>Vias_Internas</t>
  </si>
  <si>
    <t>Puentes</t>
  </si>
  <si>
    <t>Subestacion_Electrica</t>
  </si>
  <si>
    <t>Area_Influencia_Energia</t>
  </si>
  <si>
    <t>Tanque_Acueducto</t>
  </si>
  <si>
    <t>Linea_Acueducto</t>
  </si>
  <si>
    <t>Antena_Telecomunicaciones</t>
  </si>
  <si>
    <t>Subestacion_Gas</t>
  </si>
  <si>
    <t>Area_Influencia_Gas</t>
  </si>
  <si>
    <t>Area_Influencia_Telecomunicaciones</t>
  </si>
  <si>
    <t>Linea_Ferrea</t>
  </si>
  <si>
    <t>Area_Influencia_Aseo</t>
  </si>
  <si>
    <t>Linea_Alcantarillado</t>
  </si>
  <si>
    <t>Encuesta</t>
  </si>
  <si>
    <t>Predio</t>
  </si>
  <si>
    <t>Predial</t>
  </si>
  <si>
    <t>LimiteFisicoRH</t>
  </si>
  <si>
    <t>AreaConservaciónAf</t>
  </si>
  <si>
    <t>FajaParalelaRH</t>
  </si>
  <si>
    <t>AreaHomogenea</t>
  </si>
  <si>
    <t>EstacionMeteorologica</t>
  </si>
  <si>
    <t>Isoyeta</t>
  </si>
  <si>
    <t>Isoterma</t>
  </si>
  <si>
    <t>PisosTermicos</t>
  </si>
  <si>
    <t>ETPMediaAnual</t>
  </si>
  <si>
    <t>ETPRealMediaAnual</t>
  </si>
  <si>
    <t>TemperaturaMediaAnual</t>
  </si>
  <si>
    <t>ZonificacionClimaticaLang</t>
  </si>
  <si>
    <t>ZonificacionClimaticaCalLang</t>
  </si>
  <si>
    <t>Caract_Hidroclimatologicas</t>
  </si>
  <si>
    <t>CambioCobertura</t>
  </si>
  <si>
    <t>EstructuraFallaLineam</t>
  </si>
  <si>
    <t>Pliegues_LN</t>
  </si>
  <si>
    <t>Pliegues_PT</t>
  </si>
  <si>
    <t>Contactos</t>
  </si>
  <si>
    <t>EstacionesGeologicas</t>
  </si>
  <si>
    <t>DatoEstructural</t>
  </si>
  <si>
    <t>UnidadGeologica</t>
  </si>
  <si>
    <t>ZonasRecargaAcuiferos</t>
  </si>
  <si>
    <t>UsoActualSuelo</t>
  </si>
  <si>
    <t>Suelo</t>
  </si>
  <si>
    <t>PuntoMuestreoSuelo</t>
  </si>
  <si>
    <t>Clasificacion_Agrologica</t>
  </si>
  <si>
    <t>UsuariosAguaSuperPT</t>
  </si>
  <si>
    <t>CaptacionAguaSuperPT</t>
  </si>
  <si>
    <t>VertimientoPT</t>
  </si>
  <si>
    <t>UnidadHidrografica</t>
  </si>
  <si>
    <t>UnidadesHidrograficasSubsiguientes</t>
  </si>
  <si>
    <t>PuntoMuestreoAguaSuper</t>
  </si>
  <si>
    <t>CTramosAguaSuperLN</t>
  </si>
  <si>
    <t>Biomas</t>
  </si>
  <si>
    <t>Ecosistema</t>
  </si>
  <si>
    <t>RegistrosBiologicos</t>
  </si>
  <si>
    <t>Fauna_Flora</t>
  </si>
  <si>
    <t>Capas reales de las Geodatabases</t>
  </si>
  <si>
    <t>Lectura directa con pyogrio. La ultima columna cruza contra la hoja 'Capas documentadas'.</t>
  </si>
  <si>
    <t>Geodatabase</t>
  </si>
  <si>
    <t>Objetos</t>
  </si>
  <si>
    <t>Tiene diccionario</t>
  </si>
  <si>
    <t>GDB_OFICIAL_IGAC_INTERSECT.gdb</t>
  </si>
  <si>
    <t>Administrativo_P</t>
  </si>
  <si>
    <t>Point Z</t>
  </si>
  <si>
    <t>Administrativo_P_Anot</t>
  </si>
  <si>
    <t>MultiPolygon</t>
  </si>
  <si>
    <t>Banco_Arena</t>
  </si>
  <si>
    <t>MultiPolygon Z</t>
  </si>
  <si>
    <t>Bosque_Grupo_arboles</t>
  </si>
  <si>
    <t>Cerca</t>
  </si>
  <si>
    <t>MultiLineString Z</t>
  </si>
  <si>
    <t>Construccion_P</t>
  </si>
  <si>
    <t>Construccion_P_Anot</t>
  </si>
  <si>
    <t>Construccion_R</t>
  </si>
  <si>
    <t>Curva_Nivel</t>
  </si>
  <si>
    <t>Curva_Nivel_Anot</t>
  </si>
  <si>
    <t>Drenaje_Doble</t>
  </si>
  <si>
    <t>Drenaje_Doble_Anot</t>
  </si>
  <si>
    <t>Drenaje_Sencillo</t>
  </si>
  <si>
    <t>Drenaje_Sencillo_Anot</t>
  </si>
  <si>
    <t>IndEscala</t>
  </si>
  <si>
    <t>Isla</t>
  </si>
  <si>
    <t>Jaguey_P</t>
  </si>
  <si>
    <t>Laguna</t>
  </si>
  <si>
    <t>Laguna_Anot</t>
  </si>
  <si>
    <t>Limite_Via</t>
  </si>
  <si>
    <t>Limite_Via_R</t>
  </si>
  <si>
    <t>Mascara</t>
  </si>
  <si>
    <t>Mina_P</t>
  </si>
  <si>
    <t>Mina_P_Anot</t>
  </si>
  <si>
    <t>Orografia</t>
  </si>
  <si>
    <t>Orografia_Anot</t>
  </si>
  <si>
    <t>Otros_Textos</t>
  </si>
  <si>
    <t>Point</t>
  </si>
  <si>
    <t>Otros_Textos_Anot</t>
  </si>
  <si>
    <t>Pantano</t>
  </si>
  <si>
    <t>Pista_Aterrizaje_R</t>
  </si>
  <si>
    <t>Puente_L</t>
  </si>
  <si>
    <t>Puente_P</t>
  </si>
  <si>
    <t>Punto_Cota_Fotogrametrica</t>
  </si>
  <si>
    <t>Punto_Cota_Fotogrametrica_Anot</t>
  </si>
  <si>
    <t>Torre</t>
  </si>
  <si>
    <t>Torre_Anot</t>
  </si>
  <si>
    <t>Via</t>
  </si>
  <si>
    <t>GDB_POMCAS_CARARE_INTERSECT.gdb</t>
  </si>
  <si>
    <t>AECC_SueloProteccion</t>
  </si>
  <si>
    <t>AIA_EcoEstrat_Humedal</t>
  </si>
  <si>
    <t>AIA_EcoEstrat_Pantano</t>
  </si>
  <si>
    <t>AIA_EcoEstrat_Paramo</t>
  </si>
  <si>
    <t>AIA_OtrasAreas</t>
  </si>
  <si>
    <t>AIA_Zonas_Recarga</t>
  </si>
  <si>
    <t>AreasCriticas</t>
  </si>
  <si>
    <t>Asentamiento</t>
  </si>
  <si>
    <t>CapacidadUsoTierra</t>
  </si>
  <si>
    <t>Caudales_Cuenca</t>
  </si>
  <si>
    <t>MultiLineString</t>
  </si>
  <si>
    <t>Clasificacion_del_Suelo</t>
  </si>
  <si>
    <t>CoberturaTierra_2003</t>
  </si>
  <si>
    <t>CoberturaTierra_UsoActual</t>
  </si>
  <si>
    <t>ConflictoPerdidaCoberturasNaturales</t>
  </si>
  <si>
    <t>ConflictoUsoAgua</t>
  </si>
  <si>
    <t>ConflictoUsoSuelo</t>
  </si>
  <si>
    <t>Corporacion</t>
  </si>
  <si>
    <t>CuencaHidrografica</t>
  </si>
  <si>
    <t>Ecosistemas_Estrategicos_AC</t>
  </si>
  <si>
    <t>Grilla_100k</t>
  </si>
  <si>
    <t>MUNICIPIOSAnno</t>
  </si>
  <si>
    <t>MicroCuencaHidrografica</t>
  </si>
  <si>
    <t>MunicipioAnno</t>
  </si>
  <si>
    <t>Municipios_Colombia</t>
  </si>
  <si>
    <t>Pendientes_Grados</t>
  </si>
  <si>
    <t>Planchas_25K</t>
  </si>
  <si>
    <t>Plantilla</t>
  </si>
  <si>
    <t>ProyeccionDesarrollo</t>
  </si>
  <si>
    <t>RUNAP</t>
  </si>
  <si>
    <t>Red_Hidrometeorologica</t>
  </si>
  <si>
    <t>SINAP_DistritoManejoIntegrado</t>
  </si>
  <si>
    <t>SubCuencaHidrografica</t>
  </si>
  <si>
    <t>UnidadHidrogeologica</t>
  </si>
  <si>
    <t>Vereda</t>
  </si>
  <si>
    <t>ZonasRecarga</t>
  </si>
  <si>
    <t>Capas reales en total</t>
  </si>
  <si>
    <t>Con diccionario</t>
  </si>
  <si>
    <t>Sin diccionario</t>
  </si>
  <si>
    <t>Conclusion</t>
  </si>
  <si>
    <t>Los diccionarios describen la estructura completa de un POMCA (166 capas), pero las Geodatabases entregadas contienen otras capas distintas. La documentacion entregada no describe los datos entregados.</t>
  </si>
  <si>
    <t>Diccionario de datos - Estaciones hidrometeorologicas (IDEAM)</t>
  </si>
  <si>
    <t>Estructura oficial del Catalogo Nacional de Estaciones. Usela como especificacion al crear la capa.</t>
  </si>
  <si>
    <t>Campo</t>
  </si>
  <si>
    <t>Etiqueta</t>
  </si>
  <si>
    <t>Tipo</t>
  </si>
  <si>
    <t>Tam.</t>
  </si>
  <si>
    <t>Oblig.</t>
  </si>
  <si>
    <t>Descripcion oficial del IDEAM</t>
  </si>
  <si>
    <t>Nota de implementacion</t>
  </si>
  <si>
    <t>Ejemplo (estacion BORBUR)</t>
  </si>
  <si>
    <t>codigo</t>
  </si>
  <si>
    <t>Codigo</t>
  </si>
  <si>
    <t>String</t>
  </si>
  <si>
    <t>Si</t>
  </si>
  <si>
    <t>Corresponde al valor de identificación de la estación dentro del catálogo de estaciones</t>
  </si>
  <si>
    <t>CLAVE PRIMARIA. Debe guardarse como TEXTO: lleva ceros a la izquierda que un campo numerico destruye.</t>
  </si>
  <si>
    <t>0023127010</t>
  </si>
  <si>
    <t>nombre</t>
  </si>
  <si>
    <t>Nombre</t>
  </si>
  <si>
    <t>Corresponde a la identificación de la estación dentro del catálogo de estaciones, tambien lleva el codigo de la estacion</t>
  </si>
  <si>
    <t>BORBUR  - AUT [23127010]</t>
  </si>
  <si>
    <t>categoria</t>
  </si>
  <si>
    <t>Categoria</t>
  </si>
  <si>
    <t>Indica la categoría de la estación de medición de acuerdo con su clase</t>
  </si>
  <si>
    <t>Pluviometrica, Limnigrafica, Climatologica Ordinaria, Sinoptica Principal, Meteorologica Especial...</t>
  </si>
  <si>
    <t>Limnigráfica</t>
  </si>
  <si>
    <t>tecnologia</t>
  </si>
  <si>
    <t>Tecnologia</t>
  </si>
  <si>
    <t>Corresponde a los tipos de estaciones de medición: convencional, automática con telemetría, automática sin telemetría</t>
  </si>
  <si>
    <t>Convencional / Automatica con Telemetria / Automatica sin Telemetria.</t>
  </si>
  <si>
    <t>Automática con Telemetría, Convencional</t>
  </si>
  <si>
    <t>estado</t>
  </si>
  <si>
    <t>Estado</t>
  </si>
  <si>
    <t>Indica las condiciones de funcionamiento en las que actualmente se encuentra la estación de medición</t>
  </si>
  <si>
    <t>Activa, Suspendida, En Mantenimiento, Fuera de Servicio.</t>
  </si>
  <si>
    <t>En Mantenimiento</t>
  </si>
  <si>
    <t>departamento</t>
  </si>
  <si>
    <t>Nombre del departamento donde se ubica la estación</t>
  </si>
  <si>
    <t>Boyacá</t>
  </si>
  <si>
    <t>municipio</t>
  </si>
  <si>
    <t>Nombre del Municipio donde se localiza la estación</t>
  </si>
  <si>
    <t>Pauna</t>
  </si>
  <si>
    <t>ubicaci_n</t>
  </si>
  <si>
    <t>Ubicación</t>
  </si>
  <si>
    <t>Corresponde a la latitud y longitud en la cual se encuentra la estación.</t>
  </si>
  <si>
    <t>Geometria de la capa. AVISO: en el conjunto publicado del IDEAM este campo trae latitud y longitud INTERCAMBIADAS. Use los campos latitud y longitud aparte.</t>
  </si>
  <si>
    <t>POINT (-74.05502778 5.649388889)</t>
  </si>
  <si>
    <t>altitud</t>
  </si>
  <si>
    <t>Altitud</t>
  </si>
  <si>
    <t>Double</t>
  </si>
  <si>
    <t>Indica el valor de la altura sobre el nivel del mar de la estación de medición</t>
  </si>
  <si>
    <t>Metros sobre el nivel del mar. Numero, sin la cadena 'msnm'.</t>
  </si>
  <si>
    <t>457</t>
  </si>
  <si>
    <t>longitud</t>
  </si>
  <si>
    <t>LONGITUD</t>
  </si>
  <si>
    <t>Corresponde a la coordenada longitud en grados, minutos, segundos y dirección (O) Deben estar en sistema Magna Sirgas</t>
  </si>
  <si>
    <t>Grados decimales, negativo al oeste.</t>
  </si>
  <si>
    <t>-74.05502778</t>
  </si>
  <si>
    <t>latitud</t>
  </si>
  <si>
    <t>LATITUD</t>
  </si>
  <si>
    <t>Corresponde a la coordenada latitud en grados, minutos, segundos  y dirección (N/S)  Deben estar en sistema Magna Sirgas</t>
  </si>
  <si>
    <t>Grados decimales, positivo al norte.</t>
  </si>
  <si>
    <t>5.649388889</t>
  </si>
  <si>
    <t>fecha_instalacion</t>
  </si>
  <si>
    <t>Fecha_instalacion</t>
  </si>
  <si>
    <t>Date</t>
  </si>
  <si>
    <t>No</t>
  </si>
  <si>
    <t>Corresponde a la fecha de instalación de la estación de monitoreo</t>
  </si>
  <si>
    <t>En el origen viene como texto DD/MM/AAAA.</t>
  </si>
  <si>
    <t>15/03/1975</t>
  </si>
  <si>
    <t>fecha_suspension</t>
  </si>
  <si>
    <t>Fecha_suspension</t>
  </si>
  <si>
    <t>Fecha en la cual la estación fue suspendida</t>
  </si>
  <si>
    <t>Vacio si la estacion sigue activa.</t>
  </si>
  <si>
    <t>(vacio)</t>
  </si>
  <si>
    <t>area_operativa</t>
  </si>
  <si>
    <t>Area Operativa</t>
  </si>
  <si>
    <t>Área operativa</t>
  </si>
  <si>
    <t>Area Operativa 06 - Boyacá-Casanare-Vichada</t>
  </si>
  <si>
    <t>corriente</t>
  </si>
  <si>
    <t>Corriente</t>
  </si>
  <si>
    <t>Corriente sobre la cual está ubicada la estación</t>
  </si>
  <si>
    <t>Corriente hidrica sobre la que se ubica.</t>
  </si>
  <si>
    <t>MINERO</t>
  </si>
  <si>
    <t>area_hidrografica</t>
  </si>
  <si>
    <t>Area Hidrografica</t>
  </si>
  <si>
    <t>Area hidrografica sobre la cual está ubicada la estación</t>
  </si>
  <si>
    <t>Primer nivel de la zonificacion.</t>
  </si>
  <si>
    <t>Magdalena Cauca</t>
  </si>
  <si>
    <t>zona_hidrografica</t>
  </si>
  <si>
    <t>Zona Hidrografica</t>
  </si>
  <si>
    <t>Zona hidrografica sobre la cual está ubicada la estación</t>
  </si>
  <si>
    <t>Segundo nivel.</t>
  </si>
  <si>
    <t>Medio Magdalena</t>
  </si>
  <si>
    <t>subzona_hidrografica</t>
  </si>
  <si>
    <t>Subzona hidrografica</t>
  </si>
  <si>
    <t>Subzona hidrográfica sobre la cual está ubicada la estación</t>
  </si>
  <si>
    <t>Tercer nivel. Es el que enlaza con el POMCA.</t>
  </si>
  <si>
    <t>Río Carare (Minero)</t>
  </si>
  <si>
    <t>entidad</t>
  </si>
  <si>
    <t>Entidad</t>
  </si>
  <si>
    <t>Entidad propietaria de ls estación</t>
  </si>
  <si>
    <t>Propietaria de la estacion; no siempre es el IDEAM.</t>
  </si>
  <si>
    <t>INSTITUTO DE HIDROLOGÍA METEOROLOGÍA Y ESTUDIOS AMBIENTALES</t>
  </si>
  <si>
    <t>TOTAL DE CAMPOS</t>
  </si>
  <si>
    <t>campos obligatorios</t>
  </si>
  <si>
    <t>Fuente</t>
  </si>
  <si>
    <t>IDEAM - Catalogo Nacional de Estaciones. Portal de Datos Abiertos de Colombia, conjunto hp9r-jxuu. Consultado el 2026-09-04. https://www.datos.gov.co/d/hp9r-jxuu</t>
  </si>
  <si>
    <t>Capa Red_Hidrometeorologica (la que existe en la Geodatabase)</t>
  </si>
  <si>
    <t>GDB_POMCAS_CARARE_INTERSECT.gdb - Punto - EPSG:4686 (MAGNA-SIRGAS) - 1 registro. Esta capa NO tiene diccionario entre los entregados.</t>
  </si>
  <si>
    <t>Tipo real</t>
  </si>
  <si>
    <t>Descripcion</t>
  </si>
  <si>
    <t>Campo IDEAM equivalente</t>
  </si>
  <si>
    <t>Observacion</t>
  </si>
  <si>
    <t>Codigo de la estacion.</t>
  </si>
  <si>
    <t>PROBLEMA: guardado como numero. El valor 2312701 deberia ser 0023127010: el tipo numerico borro los ceros.</t>
  </si>
  <si>
    <t>Nombre de la estacion.</t>
  </si>
  <si>
    <t>Municipio donde se ubica.</t>
  </si>
  <si>
    <t>PROBLEMA: dice SAN PABLO DE BORBUR; el IDEAM registra Pauna.</t>
  </si>
  <si>
    <t>Latitud</t>
  </si>
  <si>
    <t>Latitud en grados decimales.</t>
  </si>
  <si>
    <t>Coincide con el catalogo del IDEAM.</t>
  </si>
  <si>
    <t>Longitud</t>
  </si>
  <si>
    <t>Longitud en grados decimales.</t>
  </si>
  <si>
    <t>Elevacion</t>
  </si>
  <si>
    <t>Altura sobre el nivel del mar.</t>
  </si>
  <si>
    <t>PROBLEMA: guardado como texto ('457 msnm'). Impide cualquier calculo.</t>
  </si>
  <si>
    <t>Enero</t>
  </si>
  <si>
    <t>Valor medio del mes de enero.</t>
  </si>
  <si>
    <t>Serie mensual. No forma parte del catalogo de estaciones.</t>
  </si>
  <si>
    <t>Febrero</t>
  </si>
  <si>
    <t>Valor medio del mes de febrero.</t>
  </si>
  <si>
    <t>Marzo</t>
  </si>
  <si>
    <t>Valor medio del mes de marzo.</t>
  </si>
  <si>
    <t>Abril</t>
  </si>
  <si>
    <t>Valor medio del mes de abril.</t>
  </si>
  <si>
    <t>Mayo</t>
  </si>
  <si>
    <t>Valor medio del mes de mayo.</t>
  </si>
  <si>
    <t>Junio</t>
  </si>
  <si>
    <t>Valor medio del mes de junio.</t>
  </si>
  <si>
    <t>Julio</t>
  </si>
  <si>
    <t>Valor medio del mes de julio.</t>
  </si>
  <si>
    <t>Agosto</t>
  </si>
  <si>
    <t>Valor medio del mes de agosto.</t>
  </si>
  <si>
    <t>Septiembre</t>
  </si>
  <si>
    <t>Valor medio del mes de septiembre.</t>
  </si>
  <si>
    <t>Octubre</t>
  </si>
  <si>
    <t>Valor medio del mes de octubre.</t>
  </si>
  <si>
    <t>Noviembre</t>
  </si>
  <si>
    <t>Valor medio del mes de noviembre.</t>
  </si>
  <si>
    <t>Diciembre</t>
  </si>
  <si>
    <t>Valor medio del mes de diciembre.</t>
  </si>
  <si>
    <t>Anual</t>
  </si>
  <si>
    <t>Valor anual.</t>
  </si>
  <si>
    <t>No es la media de los doce meses: la media da 69,23 y el campo dice 69,72. Falta documentar como se calcula y en que unidad esta.</t>
  </si>
  <si>
    <t>de los cuales, con problema detectado:</t>
  </si>
  <si>
    <t>Lectura</t>
  </si>
  <si>
    <t>La capa mezcla dos cosas distintas: la ficha de la estacion (6 campos) y una serie mensual de valores (13 campos). En el modelo del IDEAM son dos tablas separadas, relacionadas por el codigo de estacion.</t>
  </si>
  <si>
    <t>Cotejo: tu unico registro frente al catalogo del IDEAM</t>
  </si>
  <si>
    <t>Estacion BORBUR. Verificado el 2026-09-04 contra el conjunto hp9r-jxuu de datos.gov.co.</t>
  </si>
  <si>
    <t>Lo que dice tu capa</t>
  </si>
  <si>
    <t>Lo que dice el IDEAM</t>
  </si>
  <si>
    <t>Diagnostico</t>
  </si>
  <si>
    <t>2312701</t>
  </si>
  <si>
    <t>El codigo se guardo en un campo numerico y perdio los ceros. Con ese valor la estacion no se encuentra en el catalogo del IDEAM.</t>
  </si>
  <si>
    <t>BORBUR</t>
  </si>
  <si>
    <t>BORBUR - AUT [23127010]</t>
  </si>
  <si>
    <t>Coincide en lo esencial.</t>
  </si>
  <si>
    <t>SAN PABLO DE BORBUR</t>
  </si>
  <si>
    <t>No coinciden. Existe otra estacion BORBUR (0023120020) en San Pablo de Borbur, pero esta a 830 msnm y en otras coordenadas.</t>
  </si>
  <si>
    <t>5,649389</t>
  </si>
  <si>
    <t>5,649388889</t>
  </si>
  <si>
    <t>Coincide.</t>
  </si>
  <si>
    <t>-74,055029</t>
  </si>
  <si>
    <t>-74,05502778</t>
  </si>
  <si>
    <t>Elevacion / altitud</t>
  </si>
  <si>
    <t>457 msnm (texto)</t>
  </si>
  <si>
    <t>457 (numero)</t>
  </si>
  <si>
    <t>Mismo valor; el tipo de dato es el que falla.</t>
  </si>
  <si>
    <t>(no esta)</t>
  </si>
  <si>
    <t>Limnigrafica</t>
  </si>
  <si>
    <t>Dato ausente. Es el que dice que mide la estacion.</t>
  </si>
  <si>
    <t>Automatica con Telemetria, Convencional</t>
  </si>
  <si>
    <t>Dato ausente.</t>
  </si>
  <si>
    <t>Dato ausente y relevante: la estacion no esta plenamente operativa.</t>
  </si>
  <si>
    <t>Rio Carare (Minero)</t>
  </si>
  <si>
    <t>Dato ausente. Es justo el que enlaza la estacion con el POMCA del proyecto.</t>
  </si>
  <si>
    <t>IDEAM</t>
  </si>
  <si>
    <t>Fecha de instalacion</t>
  </si>
  <si>
    <t>Campos cotejados</t>
  </si>
  <si>
    <t>Ausentes en tu capa</t>
  </si>
  <si>
    <t>Que coinciden</t>
  </si>
  <si>
    <t>QUE HACER</t>
  </si>
  <si>
    <t>Cambiar el campo Codigo a texto y reponer el valor completo: 0023127010. Con 2312701 la estacion no existe en el catalogo del IDEAM.</t>
  </si>
  <si>
    <t>Corregir el municipio: la estacion 0023127010 esta en Pauna, no en San Pablo de Borbur.</t>
  </si>
  <si>
    <t>Separar la altitud del texto: guardar 457 como numero, no '457 msnm'.</t>
  </si>
  <si>
    <t>Anadir los 7 campos ausentes, sobre todo categoria, estado y subzona hidrografica: sin ellos no se sabe que mide la estacion, si funciona, ni a que cuenca pertenece.</t>
  </si>
  <si>
    <t>Descargar el catalogo completo del IDEAM y quedarse con las estaciones de la subzona 'Rio Carare (Minero)', que es la del POMCA. Una sola estacion no sostiene una caracterizacion climatologica.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</si>
</sst>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"/>
  </numFmts>
  <fonts count="24" x14ac:knownFonts="1">
    <font>
      <sz val="11"/>
      <color theme="1"/>
      <name val="Calibri"/>
      <family val="2"/>
      <scheme val="minor"/>
    </font>
    <font>
      <b/>
      <sz val="14"/>
      <color rgb="FF1B5E20"/>
      <name val="Arial"/>
    </font>
    <font>
      <i/>
      <sz val="9"/>
      <color rgb="FF555555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C62828"/>
      <name val="Arial"/>
    </font>
    <font>
      <sz val="10"/>
      <color rgb="FFC62828"/>
      <name val="Arial"/>
    </font>
    <font>
      <b/>
      <sz val="9"/>
      <color rgb="FFFFFFFF"/>
      <name val="Arial"/>
    </font>
    <font>
      <i/>
      <sz val="8"/>
      <color rgb="FF555555"/>
      <name val="Arial"/>
    </font>
    <font>
      <i/>
      <sz val="9"/>
      <color rgb="FF777777"/>
      <name val="Arial"/>
    </font>
    <font>
      <sz val="9"/>
      <name val="Arial"/>
    </font>
    <font>
      <i/>
      <sz val="8"/>
      <color rgb="FFC62828"/>
      <name val="Arial"/>
    </font>
    <font>
      <sz val="10"/>
      <color rgb="FF1B5E20"/>
      <name val="Arial"/>
    </font>
    <font>
      <b/>
      <sz val="14"/>
      <color rgb="FF1B5E20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C62828"/>
      <name val="Arial"/>
    </font>
    <font>
      <sz val="10"/>
      <color rgb="FFC62828"/>
      <name val="Arial"/>
    </font>
    <font>
      <sz val="10"/>
      <color rgb="FF555555"/>
      <name val="Arial"/>
    </font>
    <font>
      <sz val="10"/>
      <color rgb="FF1B5E20"/>
      <name val="Arial"/>
    </font>
    <font>
      <b/>
      <sz val="10"/>
      <color rgb="FF1B5E2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2F2F2"/>
      </patternFill>
    </fill>
    <fill>
      <patternFill patternType="solid">
        <fgColor rgb="FFFFE0B2"/>
      </patternFill>
    </fill>
    <fill>
      <patternFill patternType="solid">
        <fgColor rgb="FFFFF9C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0" fillId="0" borderId="1" xfId="0" applyFont="1" applyBorder="1"/>
    <xf numFmtId="164" fontId="10" fillId="0" borderId="1" xfId="0" applyNumberFormat="1" applyFont="1" applyBorder="1"/>
    <xf numFmtId="0" fontId="11" fillId="5" borderId="1" xfId="0" applyFont="1" applyFill="1" applyBorder="1"/>
    <xf numFmtId="0" fontId="13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3" fontId="3" fillId="4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4" fillId="0" borderId="0" xfId="0" applyFont="1"/>
    <xf numFmtId="0" fontId="15" fillId="0" borderId="0" xfId="0" applyFont="1"/>
    <xf numFmtId="0" fontId="16" fillId="6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top"/>
    </xf>
    <xf numFmtId="0" fontId="18" fillId="0" borderId="4" xfId="0" applyFont="1" applyBorder="1" applyAlignment="1">
      <alignment vertical="top"/>
    </xf>
    <xf numFmtId="0" fontId="19" fillId="0" borderId="4" xfId="0" applyFont="1" applyBorder="1" applyAlignment="1">
      <alignment vertical="top"/>
    </xf>
    <xf numFmtId="0" fontId="17" fillId="0" borderId="4" xfId="0" applyFont="1" applyBorder="1" applyAlignment="1">
      <alignment vertical="top" wrapText="1"/>
    </xf>
    <xf numFmtId="0" fontId="20" fillId="0" borderId="4" xfId="0" applyFont="1" applyBorder="1" applyAlignment="1">
      <alignment vertical="top" wrapText="1"/>
    </xf>
    <xf numFmtId="0" fontId="21" fillId="0" borderId="4" xfId="0" applyFont="1" applyBorder="1" applyAlignment="1">
      <alignment vertical="top"/>
    </xf>
    <xf numFmtId="0" fontId="18" fillId="7" borderId="4" xfId="0" applyFont="1" applyFill="1" applyBorder="1" applyAlignment="1">
      <alignment vertical="top"/>
    </xf>
    <xf numFmtId="0" fontId="17" fillId="7" borderId="4" xfId="0" applyFont="1" applyFill="1" applyBorder="1" applyAlignment="1">
      <alignment vertical="top"/>
    </xf>
    <xf numFmtId="0" fontId="18" fillId="8" borderId="4" xfId="0" applyFont="1" applyFill="1" applyBorder="1" applyAlignment="1">
      <alignment vertical="top"/>
    </xf>
    <xf numFmtId="0" fontId="20" fillId="9" borderId="4" xfId="0" applyFont="1" applyFill="1" applyBorder="1" applyAlignment="1">
      <alignment vertical="top" wrapText="1"/>
    </xf>
    <xf numFmtId="0" fontId="19" fillId="7" borderId="4" xfId="0" applyFont="1" applyFill="1" applyBorder="1" applyAlignment="1">
      <alignment vertical="top"/>
    </xf>
    <xf numFmtId="0" fontId="18" fillId="10" borderId="4" xfId="0" applyFont="1" applyFill="1" applyBorder="1" applyAlignment="1">
      <alignment vertical="top"/>
    </xf>
    <xf numFmtId="0" fontId="17" fillId="9" borderId="4" xfId="0" applyFont="1" applyFill="1" applyBorder="1" applyAlignment="1">
      <alignment vertical="top"/>
    </xf>
    <xf numFmtId="0" fontId="22" fillId="0" borderId="4" xfId="0" applyFont="1" applyBorder="1" applyAlignment="1">
      <alignment vertical="top" wrapText="1"/>
    </xf>
    <xf numFmtId="0" fontId="20" fillId="0" borderId="4" xfId="0" applyFont="1" applyBorder="1" applyAlignment="1">
      <alignment vertical="top"/>
    </xf>
    <xf numFmtId="0" fontId="23" fillId="0" borderId="4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26" customWidth="1"/>
    <col min="2" max="2" width="62" customWidth="1"/>
    <col min="3" max="3" width="46" customWidth="1"/>
    <col min="4" max="4" width="30" customWidth="1"/>
  </cols>
  <sheetData>
    <row r="1" spans="1:3" ht="18" customHeight="1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 t="s">
        <v>3</v>
      </c>
    </row>
    <row r="5" spans="1:3" ht="25.5" customHeight="1" x14ac:dyDescent="0.25">
      <c r="A5" s="3" t="s">
        <v>4</v>
      </c>
      <c r="B5" s="23" t="s">
        <v>5</v>
      </c>
    </row>
    <row r="7" spans="1:3" ht="27.95" customHeight="1" x14ac:dyDescent="0.25">
      <c r="A7" s="5" t="s">
        <v>6</v>
      </c>
      <c r="B7" s="5" t="s">
        <v>7</v>
      </c>
      <c r="C7" s="5" t="s">
        <v>8</v>
      </c>
    </row>
    <row r="8" spans="1:3" ht="30" customHeight="1" x14ac:dyDescent="0.25">
      <c r="A8" s="6" t="s">
        <v>9</v>
      </c>
      <c r="B8" s="23" t="s">
        <v>10</v>
      </c>
      <c r="C8" s="23" t="s">
        <v>11</v>
      </c>
    </row>
    <row r="9" spans="1:3" ht="30" customHeight="1" x14ac:dyDescent="0.25">
      <c r="A9" s="6" t="s">
        <v>12</v>
      </c>
      <c r="B9" s="23" t="s">
        <v>13</v>
      </c>
      <c r="C9" s="23" t="s">
        <v>14</v>
      </c>
    </row>
    <row r="10" spans="1:3" ht="30" customHeight="1" x14ac:dyDescent="0.25">
      <c r="A10" s="6" t="s">
        <v>15</v>
      </c>
      <c r="B10" s="23" t="s">
        <v>16</v>
      </c>
      <c r="C10" s="23" t="s">
        <v>17</v>
      </c>
    </row>
    <row r="11" spans="1:3" ht="30" customHeight="1" x14ac:dyDescent="0.25">
      <c r="A11" s="6" t="s">
        <v>18</v>
      </c>
      <c r="B11" s="23" t="s">
        <v>19</v>
      </c>
      <c r="C11" s="23" t="s">
        <v>20</v>
      </c>
    </row>
    <row r="12" spans="1:3" ht="30" customHeight="1" x14ac:dyDescent="0.25">
      <c r="A12" s="6" t="s">
        <v>21</v>
      </c>
      <c r="B12" s="23" t="s">
        <v>22</v>
      </c>
      <c r="C12" s="23" t="s">
        <v>23</v>
      </c>
    </row>
    <row r="13" spans="1:3" ht="30" customHeight="1" x14ac:dyDescent="0.25">
      <c r="A13" s="6" t="s">
        <v>24</v>
      </c>
      <c r="B13" s="23" t="s">
        <v>25</v>
      </c>
      <c r="C13" s="23" t="s">
        <v>26</v>
      </c>
    </row>
    <row r="14" spans="1:3" ht="30" customHeight="1" x14ac:dyDescent="0.25">
      <c r="A14" s="6" t="s">
        <v>27</v>
      </c>
      <c r="B14" s="23" t="s">
        <v>28</v>
      </c>
      <c r="C14" s="23" t="s">
        <v>29</v>
      </c>
    </row>
    <row r="15" spans="1:3" ht="30" customHeight="1" x14ac:dyDescent="0.25">
      <c r="A15" s="6" t="s">
        <v>30</v>
      </c>
      <c r="B15" s="23" t="s">
        <v>31</v>
      </c>
      <c r="C15" s="23" t="s">
        <v>32</v>
      </c>
    </row>
    <row r="17" spans="1:2" x14ac:dyDescent="0.25">
      <c r="A17" s="7" t="s">
        <v>33</v>
      </c>
    </row>
    <row r="18" spans="1:2" ht="25.5" customHeight="1" x14ac:dyDescent="0.25">
      <c r="A18" s="4" t="s">
        <v>34</v>
      </c>
      <c r="B18" s="23" t="s">
        <v>35</v>
      </c>
    </row>
    <row r="19" spans="1:2" x14ac:dyDescent="0.25">
      <c r="A19" s="4" t="s">
        <v>34</v>
      </c>
      <c r="B19" s="23" t="s">
        <v>36</v>
      </c>
    </row>
    <row r="20" spans="1:2" x14ac:dyDescent="0.25">
      <c r="A20" s="4" t="s">
        <v>34</v>
      </c>
      <c r="B20" s="23" t="s">
        <v>37</v>
      </c>
    </row>
    <row r="21" spans="1:2" ht="25.5" customHeight="1" x14ac:dyDescent="0.25">
      <c r="A21" s="4" t="s">
        <v>34</v>
      </c>
      <c r="B21" s="23" t="s">
        <v>38</v>
      </c>
    </row>
    <row r="22" spans="1:2" ht="25.5" customHeight="1" x14ac:dyDescent="0.25">
      <c r="A22" s="4" t="s">
        <v>34</v>
      </c>
      <c r="B22" s="23" t="s">
        <v>39</v>
      </c>
    </row>
    <row r="24" spans="1:2" x14ac:dyDescent="0.25">
      <c r="A24" s="8" t="s">
        <v>40</v>
      </c>
    </row>
    <row r="25" spans="1:2" ht="30" customHeight="1" x14ac:dyDescent="0.25">
      <c r="A25" s="9" t="s">
        <v>41</v>
      </c>
      <c r="B25" s="24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workbookViewId="0">
      <pane ySplit="6" topLeftCell="A7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24" customWidth="1"/>
    <col min="2" max="2" width="14" customWidth="1"/>
    <col min="3" max="3" width="26" customWidth="1"/>
    <col min="4" max="4" width="21" customWidth="1"/>
    <col min="5" max="5" width="22" customWidth="1"/>
    <col min="6" max="6" width="26" customWidth="1"/>
    <col min="7" max="7" width="23" customWidth="1"/>
    <col min="8" max="8" width="20" customWidth="1"/>
    <col min="9" max="9" width="14" customWidth="1"/>
    <col min="10" max="10" width="16" customWidth="1"/>
    <col min="11" max="12" width="14" customWidth="1"/>
    <col min="13" max="13" width="19" customWidth="1"/>
    <col min="14" max="14" width="20" customWidth="1"/>
    <col min="15" max="15" width="19" customWidth="1"/>
    <col min="16" max="16" width="26" customWidth="1"/>
    <col min="17" max="17" width="21" customWidth="1"/>
    <col min="18" max="18" width="23" customWidth="1"/>
  </cols>
  <sheetData>
    <row r="1" spans="1:18" ht="18" customHeight="1" x14ac:dyDescent="0.25">
      <c r="A1" s="1" t="s">
        <v>43</v>
      </c>
    </row>
    <row r="2" spans="1:18" x14ac:dyDescent="0.25">
      <c r="A2" s="2" t="s">
        <v>44</v>
      </c>
    </row>
    <row r="4" spans="1:18" ht="33.950000000000003" customHeight="1" x14ac:dyDescent="0.25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</row>
    <row r="5" spans="1:18" x14ac:dyDescent="0.25">
      <c r="A5" s="11" t="s">
        <v>63</v>
      </c>
      <c r="B5" s="12" t="s">
        <v>64</v>
      </c>
      <c r="C5" s="12" t="s">
        <v>64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11" t="s">
        <v>70</v>
      </c>
      <c r="J5" s="11" t="s">
        <v>71</v>
      </c>
      <c r="K5" s="11" t="s">
        <v>72</v>
      </c>
      <c r="L5" s="11" t="s">
        <v>73</v>
      </c>
      <c r="M5" s="11" t="s">
        <v>74</v>
      </c>
      <c r="N5" s="11" t="s">
        <v>75</v>
      </c>
      <c r="O5" s="11" t="s">
        <v>76</v>
      </c>
      <c r="P5" s="11" t="s">
        <v>77</v>
      </c>
      <c r="Q5" s="11" t="s">
        <v>78</v>
      </c>
      <c r="R5" s="11" t="s">
        <v>79</v>
      </c>
    </row>
    <row r="6" spans="1:18" x14ac:dyDescent="0.25">
      <c r="A6" s="13" t="s">
        <v>80</v>
      </c>
      <c r="B6" s="13" t="s">
        <v>81</v>
      </c>
      <c r="C6" s="13" t="s">
        <v>82</v>
      </c>
      <c r="D6" s="13" t="s">
        <v>83</v>
      </c>
      <c r="E6" s="13" t="s">
        <v>84</v>
      </c>
      <c r="F6" s="13" t="s">
        <v>85</v>
      </c>
      <c r="G6" s="13" t="s">
        <v>86</v>
      </c>
      <c r="H6" s="13" t="s">
        <v>87</v>
      </c>
      <c r="I6" s="13" t="s">
        <v>88</v>
      </c>
      <c r="J6" s="13" t="s">
        <v>89</v>
      </c>
      <c r="K6" s="13" t="s">
        <v>90</v>
      </c>
      <c r="L6" s="13" t="s">
        <v>91</v>
      </c>
      <c r="M6" s="14">
        <v>6.1871999999999998</v>
      </c>
      <c r="N6" s="14">
        <v>-74.992199999999997</v>
      </c>
      <c r="O6" s="13" t="s">
        <v>92</v>
      </c>
      <c r="P6" s="13">
        <v>1000</v>
      </c>
      <c r="Q6" s="13" t="s">
        <v>93</v>
      </c>
      <c r="R6" s="13" t="s">
        <v>94</v>
      </c>
    </row>
    <row r="7" spans="1:18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baseColWidth="10" defaultColWidth="9.140625" defaultRowHeight="15" x14ac:dyDescent="0.25"/>
  <cols>
    <col min="1" max="1" width="5" customWidth="1"/>
    <col min="2" max="2" width="32" customWidth="1"/>
    <col min="3" max="3" width="30" customWidth="1"/>
    <col min="4" max="4" width="24" customWidth="1"/>
    <col min="5" max="5" width="66" customWidth="1"/>
  </cols>
  <sheetData>
    <row r="1" spans="1:5" ht="18" customHeight="1" x14ac:dyDescent="0.25">
      <c r="A1" s="1" t="s">
        <v>95</v>
      </c>
    </row>
    <row r="2" spans="1:5" x14ac:dyDescent="0.25">
      <c r="A2" s="2" t="s">
        <v>96</v>
      </c>
    </row>
    <row r="4" spans="1:5" ht="27.95" customHeight="1" x14ac:dyDescent="0.25">
      <c r="A4" s="5" t="s">
        <v>97</v>
      </c>
      <c r="B4" s="5" t="s">
        <v>98</v>
      </c>
      <c r="C4" s="5" t="s">
        <v>99</v>
      </c>
      <c r="D4" s="5" t="s">
        <v>100</v>
      </c>
      <c r="E4" s="5" t="s">
        <v>101</v>
      </c>
    </row>
    <row r="5" spans="1:5" ht="26.1" customHeight="1" x14ac:dyDescent="0.25">
      <c r="A5" s="4">
        <v>1</v>
      </c>
      <c r="B5" s="4" t="s">
        <v>45</v>
      </c>
      <c r="C5" s="6" t="s">
        <v>63</v>
      </c>
      <c r="D5" s="16" t="s">
        <v>102</v>
      </c>
      <c r="E5" s="23" t="s">
        <v>103</v>
      </c>
    </row>
    <row r="6" spans="1:5" ht="26.1" customHeight="1" x14ac:dyDescent="0.25">
      <c r="A6" s="4">
        <v>2</v>
      </c>
      <c r="B6" s="4" t="s">
        <v>46</v>
      </c>
      <c r="C6" s="4" t="s">
        <v>34</v>
      </c>
      <c r="D6" s="17" t="s">
        <v>104</v>
      </c>
      <c r="E6" s="23" t="s">
        <v>105</v>
      </c>
    </row>
    <row r="7" spans="1:5" ht="26.1" customHeight="1" x14ac:dyDescent="0.25">
      <c r="A7" s="4">
        <v>3</v>
      </c>
      <c r="B7" s="4" t="s">
        <v>47</v>
      </c>
      <c r="C7" s="4" t="s">
        <v>34</v>
      </c>
      <c r="D7" s="17" t="s">
        <v>104</v>
      </c>
      <c r="E7" s="23" t="s">
        <v>106</v>
      </c>
    </row>
    <row r="8" spans="1:5" ht="26.1" customHeight="1" x14ac:dyDescent="0.25">
      <c r="A8" s="4">
        <v>4</v>
      </c>
      <c r="B8" s="4" t="s">
        <v>48</v>
      </c>
      <c r="C8" s="6" t="s">
        <v>65</v>
      </c>
      <c r="D8" s="16" t="s">
        <v>102</v>
      </c>
      <c r="E8" s="23" t="s">
        <v>107</v>
      </c>
    </row>
    <row r="9" spans="1:5" ht="26.1" customHeight="1" x14ac:dyDescent="0.25">
      <c r="A9" s="4">
        <v>5</v>
      </c>
      <c r="B9" s="4" t="s">
        <v>49</v>
      </c>
      <c r="C9" s="6" t="s">
        <v>66</v>
      </c>
      <c r="D9" s="16" t="s">
        <v>102</v>
      </c>
      <c r="E9" s="23" t="s">
        <v>108</v>
      </c>
    </row>
    <row r="10" spans="1:5" ht="26.1" customHeight="1" x14ac:dyDescent="0.25">
      <c r="A10" s="4">
        <v>6</v>
      </c>
      <c r="B10" s="4" t="s">
        <v>50</v>
      </c>
      <c r="C10" s="6" t="s">
        <v>67</v>
      </c>
      <c r="D10" s="16" t="s">
        <v>102</v>
      </c>
      <c r="E10" s="23" t="s">
        <v>109</v>
      </c>
    </row>
    <row r="11" spans="1:5" ht="26.1" customHeight="1" x14ac:dyDescent="0.25">
      <c r="A11" s="4">
        <v>7</v>
      </c>
      <c r="B11" s="4" t="s">
        <v>51</v>
      </c>
      <c r="C11" s="6" t="s">
        <v>68</v>
      </c>
      <c r="D11" s="16" t="s">
        <v>102</v>
      </c>
      <c r="E11" s="23" t="s">
        <v>110</v>
      </c>
    </row>
    <row r="12" spans="1:5" ht="26.1" customHeight="1" x14ac:dyDescent="0.25">
      <c r="A12" s="4">
        <v>8</v>
      </c>
      <c r="B12" s="4" t="s">
        <v>52</v>
      </c>
      <c r="C12" s="6" t="s">
        <v>69</v>
      </c>
      <c r="D12" s="16" t="s">
        <v>102</v>
      </c>
      <c r="E12" s="23" t="s">
        <v>111</v>
      </c>
    </row>
    <row r="13" spans="1:5" ht="26.1" customHeight="1" x14ac:dyDescent="0.25">
      <c r="A13" s="4">
        <v>9</v>
      </c>
      <c r="B13" s="4" t="s">
        <v>53</v>
      </c>
      <c r="C13" s="6" t="s">
        <v>70</v>
      </c>
      <c r="D13" s="16" t="s">
        <v>102</v>
      </c>
      <c r="E13" s="23" t="s">
        <v>112</v>
      </c>
    </row>
    <row r="14" spans="1:5" ht="26.1" customHeight="1" x14ac:dyDescent="0.25">
      <c r="A14" s="4">
        <v>10</v>
      </c>
      <c r="B14" s="4" t="s">
        <v>54</v>
      </c>
      <c r="C14" s="6" t="s">
        <v>71</v>
      </c>
      <c r="D14" s="16" t="s">
        <v>102</v>
      </c>
      <c r="E14" s="23" t="s">
        <v>113</v>
      </c>
    </row>
    <row r="15" spans="1:5" ht="26.1" customHeight="1" x14ac:dyDescent="0.25">
      <c r="A15" s="4">
        <v>11</v>
      </c>
      <c r="B15" s="4" t="s">
        <v>55</v>
      </c>
      <c r="C15" s="6" t="s">
        <v>72</v>
      </c>
      <c r="D15" s="16" t="s">
        <v>102</v>
      </c>
      <c r="E15" s="23" t="s">
        <v>114</v>
      </c>
    </row>
    <row r="16" spans="1:5" ht="26.1" customHeight="1" x14ac:dyDescent="0.25">
      <c r="A16" s="4">
        <v>12</v>
      </c>
      <c r="B16" s="4" t="s">
        <v>56</v>
      </c>
      <c r="C16" s="6" t="s">
        <v>73</v>
      </c>
      <c r="D16" s="16" t="s">
        <v>102</v>
      </c>
      <c r="E16" s="23" t="s">
        <v>115</v>
      </c>
    </row>
    <row r="17" spans="1:5" ht="26.1" customHeight="1" x14ac:dyDescent="0.25">
      <c r="A17" s="4">
        <v>13</v>
      </c>
      <c r="B17" s="4" t="s">
        <v>57</v>
      </c>
      <c r="C17" s="6" t="s">
        <v>74</v>
      </c>
      <c r="D17" s="16" t="s">
        <v>102</v>
      </c>
      <c r="E17" s="23" t="s">
        <v>116</v>
      </c>
    </row>
    <row r="18" spans="1:5" ht="26.1" customHeight="1" x14ac:dyDescent="0.25">
      <c r="A18" s="4">
        <v>14</v>
      </c>
      <c r="B18" s="4" t="s">
        <v>58</v>
      </c>
      <c r="C18" s="6" t="s">
        <v>75</v>
      </c>
      <c r="D18" s="16" t="s">
        <v>102</v>
      </c>
      <c r="E18" s="23" t="s">
        <v>117</v>
      </c>
    </row>
    <row r="19" spans="1:5" ht="26.1" customHeight="1" x14ac:dyDescent="0.25">
      <c r="A19" s="4">
        <v>15</v>
      </c>
      <c r="B19" s="4" t="s">
        <v>59</v>
      </c>
      <c r="C19" s="6" t="s">
        <v>76</v>
      </c>
      <c r="D19" s="16" t="s">
        <v>102</v>
      </c>
      <c r="E19" s="23" t="s">
        <v>118</v>
      </c>
    </row>
    <row r="20" spans="1:5" ht="26.1" customHeight="1" x14ac:dyDescent="0.25">
      <c r="A20" s="4">
        <v>16</v>
      </c>
      <c r="B20" s="4" t="s">
        <v>60</v>
      </c>
      <c r="C20" s="6" t="s">
        <v>77</v>
      </c>
      <c r="D20" s="16" t="s">
        <v>102</v>
      </c>
      <c r="E20" s="23" t="s">
        <v>119</v>
      </c>
    </row>
    <row r="21" spans="1:5" ht="26.1" customHeight="1" x14ac:dyDescent="0.25">
      <c r="A21" s="4">
        <v>17</v>
      </c>
      <c r="B21" s="4" t="s">
        <v>61</v>
      </c>
      <c r="C21" s="6" t="s">
        <v>78</v>
      </c>
      <c r="D21" s="16" t="s">
        <v>102</v>
      </c>
      <c r="E21" s="23" t="s">
        <v>120</v>
      </c>
    </row>
    <row r="22" spans="1:5" ht="26.1" customHeight="1" x14ac:dyDescent="0.25">
      <c r="A22" s="4">
        <v>18</v>
      </c>
      <c r="B22" s="4" t="s">
        <v>62</v>
      </c>
      <c r="C22" s="6" t="s">
        <v>79</v>
      </c>
      <c r="D22" s="16" t="s">
        <v>102</v>
      </c>
      <c r="E22" s="23" t="s">
        <v>121</v>
      </c>
    </row>
    <row r="24" spans="1:5" x14ac:dyDescent="0.25">
      <c r="B24" s="6" t="s">
        <v>122</v>
      </c>
      <c r="C24" s="6">
        <f>COUNTIF(D5:D22,"Vigente*")</f>
        <v>16</v>
      </c>
    </row>
    <row r="25" spans="1:5" x14ac:dyDescent="0.25">
      <c r="B25" s="6" t="s">
        <v>123</v>
      </c>
      <c r="C25" s="6">
        <f>COUNTIF(D5:D22,"Sin termino*")</f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baseColWidth="10" defaultColWidth="9.140625" defaultRowHeight="15" x14ac:dyDescent="0.25"/>
  <cols>
    <col min="1" max="2" width="26" customWidth="1"/>
    <col min="3" max="3" width="32" customWidth="1"/>
    <col min="4" max="4" width="78" customWidth="1"/>
  </cols>
  <sheetData>
    <row r="1" spans="1:4" ht="18" customHeight="1" x14ac:dyDescent="0.25">
      <c r="A1" s="1" t="s">
        <v>124</v>
      </c>
    </row>
    <row r="2" spans="1:4" x14ac:dyDescent="0.25">
      <c r="A2" s="2" t="s">
        <v>125</v>
      </c>
    </row>
    <row r="4" spans="1:4" ht="27.95" customHeight="1" x14ac:dyDescent="0.25">
      <c r="A4" s="5" t="s">
        <v>126</v>
      </c>
      <c r="B4" s="5" t="s">
        <v>127</v>
      </c>
      <c r="C4" s="5" t="s">
        <v>128</v>
      </c>
      <c r="D4" s="5" t="s">
        <v>129</v>
      </c>
    </row>
    <row r="5" spans="1:4" ht="30" customHeight="1" x14ac:dyDescent="0.25">
      <c r="A5" s="6" t="s">
        <v>130</v>
      </c>
      <c r="B5" s="17" t="s">
        <v>131</v>
      </c>
      <c r="C5" s="16" t="s">
        <v>132</v>
      </c>
      <c r="D5" s="23" t="s">
        <v>133</v>
      </c>
    </row>
    <row r="6" spans="1:4" ht="30" customHeight="1" x14ac:dyDescent="0.25">
      <c r="A6" s="6" t="s">
        <v>134</v>
      </c>
      <c r="B6" s="17" t="s">
        <v>135</v>
      </c>
      <c r="C6" s="16" t="s">
        <v>136</v>
      </c>
      <c r="D6" s="23" t="s">
        <v>137</v>
      </c>
    </row>
    <row r="7" spans="1:4" ht="30" customHeight="1" x14ac:dyDescent="0.25">
      <c r="A7" s="6" t="s">
        <v>134</v>
      </c>
      <c r="B7" s="17" t="s">
        <v>138</v>
      </c>
      <c r="C7" s="16" t="s">
        <v>139</v>
      </c>
      <c r="D7" s="23" t="s">
        <v>140</v>
      </c>
    </row>
    <row r="8" spans="1:4" ht="30" customHeight="1" x14ac:dyDescent="0.25">
      <c r="A8" s="6" t="s">
        <v>134</v>
      </c>
      <c r="B8" s="17" t="s">
        <v>141</v>
      </c>
      <c r="C8" s="16" t="s">
        <v>142</v>
      </c>
      <c r="D8" s="23" t="s">
        <v>143</v>
      </c>
    </row>
    <row r="9" spans="1:4" ht="30" customHeight="1" x14ac:dyDescent="0.25">
      <c r="A9" s="6" t="s">
        <v>144</v>
      </c>
      <c r="B9" s="17" t="s">
        <v>145</v>
      </c>
      <c r="C9" s="16" t="s">
        <v>146</v>
      </c>
      <c r="D9" s="23" t="s">
        <v>147</v>
      </c>
    </row>
    <row r="10" spans="1:4" ht="30" customHeight="1" x14ac:dyDescent="0.25">
      <c r="A10" s="6" t="s">
        <v>144</v>
      </c>
      <c r="B10" s="17" t="s">
        <v>148</v>
      </c>
      <c r="C10" s="16" t="s">
        <v>149</v>
      </c>
      <c r="D10" s="23" t="s">
        <v>150</v>
      </c>
    </row>
    <row r="11" spans="1:4" ht="30" customHeight="1" x14ac:dyDescent="0.25">
      <c r="A11" s="6" t="s">
        <v>144</v>
      </c>
      <c r="B11" s="17" t="s">
        <v>151</v>
      </c>
      <c r="C11" s="16" t="s">
        <v>152</v>
      </c>
      <c r="D11" s="23" t="s">
        <v>150</v>
      </c>
    </row>
    <row r="13" spans="1:4" x14ac:dyDescent="0.25">
      <c r="A13" s="7" t="s">
        <v>153</v>
      </c>
    </row>
    <row r="14" spans="1:4" ht="32.1" customHeight="1" x14ac:dyDescent="0.25">
      <c r="A14" s="4" t="s">
        <v>34</v>
      </c>
      <c r="B14" s="44" t="s">
        <v>154</v>
      </c>
      <c r="C14" s="45"/>
      <c r="D14" s="46"/>
    </row>
    <row r="15" spans="1:4" ht="32.1" customHeight="1" x14ac:dyDescent="0.25">
      <c r="A15" s="4" t="s">
        <v>34</v>
      </c>
      <c r="B15" s="44" t="s">
        <v>155</v>
      </c>
      <c r="C15" s="45"/>
      <c r="D15" s="46"/>
    </row>
    <row r="16" spans="1:4" ht="32.1" customHeight="1" x14ac:dyDescent="0.25">
      <c r="A16" s="4" t="s">
        <v>34</v>
      </c>
      <c r="B16" s="44" t="s">
        <v>156</v>
      </c>
      <c r="C16" s="45"/>
      <c r="D16" s="46"/>
    </row>
  </sheetData>
  <mergeCells count="3">
    <mergeCell ref="B15:D15"/>
    <mergeCell ref="B16:D16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baseColWidth="10" defaultColWidth="9.140625" defaultRowHeight="15" x14ac:dyDescent="0.25"/>
  <cols>
    <col min="1" max="1" width="34" customWidth="1"/>
    <col min="2" max="3" width="18" customWidth="1"/>
    <col min="4" max="4" width="62" customWidth="1"/>
  </cols>
  <sheetData>
    <row r="1" spans="1:4" ht="18" customHeight="1" x14ac:dyDescent="0.25">
      <c r="A1" s="1" t="s">
        <v>157</v>
      </c>
    </row>
    <row r="2" spans="1:4" x14ac:dyDescent="0.25">
      <c r="A2" s="2" t="s">
        <v>158</v>
      </c>
    </row>
    <row r="4" spans="1:4" x14ac:dyDescent="0.25">
      <c r="A4" s="3" t="s">
        <v>159</v>
      </c>
      <c r="B4" s="6">
        <f>COUNTA(Inventario!B5:B582)</f>
        <v>578</v>
      </c>
    </row>
    <row r="5" spans="1:4" x14ac:dyDescent="0.25">
      <c r="A5" s="3" t="s">
        <v>160</v>
      </c>
      <c r="B5" s="18">
        <f>SUM(Inventario!D5:D582)/1048576</f>
        <v>2205.4701671600342</v>
      </c>
    </row>
    <row r="7" spans="1:4" ht="27.95" customHeight="1" x14ac:dyDescent="0.25">
      <c r="A7" s="5" t="s">
        <v>161</v>
      </c>
      <c r="B7" s="5" t="s">
        <v>162</v>
      </c>
      <c r="C7" s="5" t="s">
        <v>163</v>
      </c>
      <c r="D7" s="5" t="s">
        <v>164</v>
      </c>
    </row>
    <row r="8" spans="1:4" ht="30" customHeight="1" x14ac:dyDescent="0.25">
      <c r="A8" s="6" t="s">
        <v>165</v>
      </c>
      <c r="B8" s="19">
        <f>COUNTIF(Inventario!A5:A582,A8)</f>
        <v>559</v>
      </c>
      <c r="C8" s="20">
        <f>SUMIF(Inventario!A5:A582,A8,Inventario!D5:D582)/1048576</f>
        <v>938.70115089416504</v>
      </c>
      <c r="D8" s="23" t="s">
        <v>166</v>
      </c>
    </row>
    <row r="9" spans="1:4" ht="30" customHeight="1" x14ac:dyDescent="0.25">
      <c r="A9" s="6" t="s">
        <v>167</v>
      </c>
      <c r="B9" s="19">
        <f>COUNTIF(Inventario!A5:A582,A9)</f>
        <v>8</v>
      </c>
      <c r="C9" s="20">
        <f>SUMIF(Inventario!A5:A582,A9,Inventario!D5:D582)/1048576</f>
        <v>1265.5167484283447</v>
      </c>
      <c r="D9" s="23" t="s">
        <v>168</v>
      </c>
    </row>
    <row r="10" spans="1:4" ht="30" customHeight="1" x14ac:dyDescent="0.25">
      <c r="A10" s="6" t="s">
        <v>169</v>
      </c>
      <c r="B10" s="19">
        <f>COUNTIF(Inventario!A5:A582,A10)</f>
        <v>11</v>
      </c>
      <c r="C10" s="20">
        <f>SUMIF(Inventario!A5:A582,A10,Inventario!D5:D582)/1048576</f>
        <v>1.2522678375244141</v>
      </c>
      <c r="D10" s="23" t="s">
        <v>170</v>
      </c>
    </row>
    <row r="12" spans="1:4" ht="27.95" customHeight="1" x14ac:dyDescent="0.25">
      <c r="A12" s="5" t="s">
        <v>171</v>
      </c>
      <c r="B12" s="5" t="s">
        <v>162</v>
      </c>
      <c r="C12" s="5" t="s">
        <v>163</v>
      </c>
      <c r="D12" s="5" t="s">
        <v>172</v>
      </c>
    </row>
    <row r="13" spans="1:4" x14ac:dyDescent="0.25">
      <c r="A13" s="6" t="s">
        <v>173</v>
      </c>
      <c r="B13" s="19">
        <f>COUNTIF(Inventario!C5:C582,A13)</f>
        <v>96</v>
      </c>
      <c r="C13" s="20">
        <f>SUMIF(Inventario!C5:C582,A13,Inventario!D5:D582)/1048576</f>
        <v>387.14696884155273</v>
      </c>
      <c r="D13" s="23" t="s">
        <v>174</v>
      </c>
    </row>
    <row r="14" spans="1:4" x14ac:dyDescent="0.25">
      <c r="A14" s="6" t="s">
        <v>175</v>
      </c>
      <c r="B14" s="19">
        <f>COUNTIF(Inventario!C5:C582,A14)</f>
        <v>17</v>
      </c>
      <c r="C14" s="20">
        <f>SUMIF(Inventario!C5:C582,A14,Inventario!D5:D582)/1048576</f>
        <v>54.957256317138672</v>
      </c>
      <c r="D14" s="23" t="s">
        <v>176</v>
      </c>
    </row>
    <row r="15" spans="1:4" x14ac:dyDescent="0.25">
      <c r="A15" s="6" t="s">
        <v>177</v>
      </c>
      <c r="B15" s="19">
        <f>COUNTIF(Inventario!C5:C582,A15)</f>
        <v>1</v>
      </c>
      <c r="C15" s="20">
        <f>SUMIF(Inventario!C5:C582,A15,Inventario!D5:D582)/1048576</f>
        <v>1263.9453125</v>
      </c>
      <c r="D15" s="23" t="s">
        <v>178</v>
      </c>
    </row>
    <row r="16" spans="1:4" x14ac:dyDescent="0.25">
      <c r="A16" s="6" t="s">
        <v>179</v>
      </c>
      <c r="B16" s="19">
        <f>COUNTIF(Inventario!C5:C582,A16)</f>
        <v>5</v>
      </c>
      <c r="C16" s="20">
        <f>SUMIF(Inventario!C5:C582,A16,Inventario!D5:D582)/1048576</f>
        <v>2.0412445068359375E-2</v>
      </c>
      <c r="D16" s="23" t="s">
        <v>180</v>
      </c>
    </row>
    <row r="17" spans="1:4" x14ac:dyDescent="0.25">
      <c r="A17" s="6" t="s">
        <v>181</v>
      </c>
      <c r="B17" s="19">
        <f>COUNTIF(Inventario!C5:C582,A17)</f>
        <v>1</v>
      </c>
      <c r="C17" s="20">
        <f>SUMIF(Inventario!C5:C582,A17,Inventario!D5:D582)/1048576</f>
        <v>1.1386451721191406</v>
      </c>
      <c r="D17" s="23" t="s">
        <v>182</v>
      </c>
    </row>
    <row r="18" spans="1:4" x14ac:dyDescent="0.25">
      <c r="A18" s="6" t="s">
        <v>183</v>
      </c>
      <c r="B18" s="19">
        <f>COUNTIF(Inventario!C5:C582,A18)</f>
        <v>3</v>
      </c>
      <c r="C18" s="20">
        <f>SUMIF(Inventario!C5:C582,A18,Inventario!D5:D582)/1048576</f>
        <v>1.3592720031738281E-2</v>
      </c>
      <c r="D18" s="23" t="s">
        <v>184</v>
      </c>
    </row>
    <row r="19" spans="1:4" x14ac:dyDescent="0.25">
      <c r="A19" s="6" t="s">
        <v>185</v>
      </c>
      <c r="B19" s="19">
        <f>COUNTIF(Inventario!C5:C582,A19)</f>
        <v>3</v>
      </c>
      <c r="C19" s="20">
        <f>SUMIF(Inventario!C5:C582,A19,Inventario!D5:D582)/1048576</f>
        <v>490.22068214416504</v>
      </c>
      <c r="D19" s="23" t="s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82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46" customWidth="1"/>
    <col min="3" max="3" width="12" customWidth="1"/>
    <col min="4" max="4" width="14" customWidth="1"/>
    <col min="5" max="5" width="78" customWidth="1"/>
  </cols>
  <sheetData>
    <row r="1" spans="1:5" ht="18" customHeight="1" x14ac:dyDescent="0.25">
      <c r="A1" s="1" t="s">
        <v>187</v>
      </c>
    </row>
    <row r="2" spans="1:5" x14ac:dyDescent="0.25">
      <c r="A2" s="2" t="s">
        <v>188</v>
      </c>
    </row>
    <row r="4" spans="1:5" ht="27.95" customHeight="1" x14ac:dyDescent="0.25">
      <c r="A4" s="5" t="s">
        <v>189</v>
      </c>
      <c r="B4" s="5" t="s">
        <v>190</v>
      </c>
      <c r="C4" s="5" t="s">
        <v>171</v>
      </c>
      <c r="D4" s="5" t="s">
        <v>191</v>
      </c>
      <c r="E4" s="5" t="s">
        <v>192</v>
      </c>
    </row>
    <row r="5" spans="1:5" x14ac:dyDescent="0.25">
      <c r="A5" s="4" t="s">
        <v>169</v>
      </c>
      <c r="B5" s="4" t="s">
        <v>193</v>
      </c>
      <c r="C5" s="4" t="s">
        <v>179</v>
      </c>
      <c r="D5" s="19">
        <v>3428</v>
      </c>
      <c r="E5" s="4" t="s">
        <v>193</v>
      </c>
    </row>
    <row r="6" spans="1:5" x14ac:dyDescent="0.25">
      <c r="A6" s="4" t="s">
        <v>169</v>
      </c>
      <c r="B6" s="4" t="s">
        <v>194</v>
      </c>
      <c r="C6" s="4" t="s">
        <v>179</v>
      </c>
      <c r="D6" s="19">
        <v>4200</v>
      </c>
      <c r="E6" s="4" t="s">
        <v>194</v>
      </c>
    </row>
    <row r="7" spans="1:5" x14ac:dyDescent="0.25">
      <c r="A7" s="4" t="s">
        <v>169</v>
      </c>
      <c r="B7" s="4" t="s">
        <v>195</v>
      </c>
      <c r="C7" s="4" t="s">
        <v>179</v>
      </c>
      <c r="D7" s="19">
        <v>6353</v>
      </c>
      <c r="E7" s="4" t="s">
        <v>195</v>
      </c>
    </row>
    <row r="8" spans="1:5" x14ac:dyDescent="0.25">
      <c r="A8" s="4" t="s">
        <v>169</v>
      </c>
      <c r="B8" s="4" t="s">
        <v>196</v>
      </c>
      <c r="C8" s="4" t="s">
        <v>183</v>
      </c>
      <c r="D8" s="19">
        <v>4412</v>
      </c>
      <c r="E8" s="4" t="s">
        <v>196</v>
      </c>
    </row>
    <row r="9" spans="1:5" x14ac:dyDescent="0.25">
      <c r="A9" s="4" t="s">
        <v>169</v>
      </c>
      <c r="B9" s="4" t="s">
        <v>197</v>
      </c>
      <c r="C9" s="4" t="s">
        <v>179</v>
      </c>
      <c r="D9" s="19">
        <v>3733</v>
      </c>
      <c r="E9" s="4" t="s">
        <v>197</v>
      </c>
    </row>
    <row r="10" spans="1:5" x14ac:dyDescent="0.25">
      <c r="A10" s="4" t="s">
        <v>169</v>
      </c>
      <c r="B10" s="4" t="s">
        <v>198</v>
      </c>
      <c r="C10" s="4" t="s">
        <v>179</v>
      </c>
      <c r="D10" s="19">
        <v>3690</v>
      </c>
      <c r="E10" s="4" t="s">
        <v>198</v>
      </c>
    </row>
    <row r="11" spans="1:5" x14ac:dyDescent="0.25">
      <c r="A11" s="4" t="s">
        <v>169</v>
      </c>
      <c r="B11" s="4" t="s">
        <v>199</v>
      </c>
      <c r="C11" s="4" t="s">
        <v>200</v>
      </c>
      <c r="D11" s="19">
        <v>3068</v>
      </c>
      <c r="E11" s="4" t="s">
        <v>199</v>
      </c>
    </row>
    <row r="12" spans="1:5" x14ac:dyDescent="0.25">
      <c r="A12" s="4" t="s">
        <v>169</v>
      </c>
      <c r="B12" s="4" t="s">
        <v>201</v>
      </c>
      <c r="C12" s="4" t="s">
        <v>202</v>
      </c>
      <c r="D12" s="19">
        <v>80417</v>
      </c>
      <c r="E12" s="4" t="s">
        <v>201</v>
      </c>
    </row>
    <row r="13" spans="1:5" x14ac:dyDescent="0.25">
      <c r="A13" s="4" t="s">
        <v>169</v>
      </c>
      <c r="B13" s="4" t="s">
        <v>203</v>
      </c>
      <c r="C13" s="4" t="s">
        <v>183</v>
      </c>
      <c r="D13" s="19">
        <v>6334</v>
      </c>
      <c r="E13" s="4" t="s">
        <v>203</v>
      </c>
    </row>
    <row r="14" spans="1:5" x14ac:dyDescent="0.25">
      <c r="A14" s="4" t="s">
        <v>169</v>
      </c>
      <c r="B14" s="4" t="s">
        <v>204</v>
      </c>
      <c r="C14" s="4" t="s">
        <v>181</v>
      </c>
      <c r="D14" s="19">
        <v>1193956</v>
      </c>
      <c r="E14" s="4" t="s">
        <v>204</v>
      </c>
    </row>
    <row r="15" spans="1:5" x14ac:dyDescent="0.25">
      <c r="A15" s="4" t="s">
        <v>169</v>
      </c>
      <c r="B15" s="4" t="s">
        <v>205</v>
      </c>
      <c r="C15" s="4" t="s">
        <v>183</v>
      </c>
      <c r="D15" s="19">
        <v>3507</v>
      </c>
      <c r="E15" s="4" t="s">
        <v>205</v>
      </c>
    </row>
    <row r="16" spans="1:5" x14ac:dyDescent="0.25">
      <c r="A16" s="4" t="s">
        <v>165</v>
      </c>
      <c r="B16" s="4" t="s">
        <v>206</v>
      </c>
      <c r="C16" s="4" t="s">
        <v>185</v>
      </c>
      <c r="D16" s="19">
        <v>57172659</v>
      </c>
      <c r="E16" s="4" t="s">
        <v>207</v>
      </c>
    </row>
    <row r="17" spans="1:5" x14ac:dyDescent="0.25">
      <c r="A17" s="4" t="s">
        <v>165</v>
      </c>
      <c r="B17" s="4" t="s">
        <v>208</v>
      </c>
      <c r="C17" s="4" t="s">
        <v>185</v>
      </c>
      <c r="D17" s="19">
        <v>399688324</v>
      </c>
      <c r="E17" s="4" t="s">
        <v>209</v>
      </c>
    </row>
    <row r="18" spans="1:5" x14ac:dyDescent="0.25">
      <c r="A18" s="4" t="s">
        <v>165</v>
      </c>
      <c r="B18" s="4" t="s">
        <v>210</v>
      </c>
      <c r="C18" s="4" t="s">
        <v>175</v>
      </c>
      <c r="D18" s="19">
        <v>3392628</v>
      </c>
      <c r="E18" s="4" t="s">
        <v>211</v>
      </c>
    </row>
    <row r="19" spans="1:5" x14ac:dyDescent="0.25">
      <c r="A19" s="4" t="s">
        <v>165</v>
      </c>
      <c r="B19" s="4" t="s">
        <v>212</v>
      </c>
      <c r="C19" s="4" t="s">
        <v>175</v>
      </c>
      <c r="D19" s="19">
        <v>3406272</v>
      </c>
      <c r="E19" s="4" t="s">
        <v>213</v>
      </c>
    </row>
    <row r="20" spans="1:5" x14ac:dyDescent="0.25">
      <c r="A20" s="4" t="s">
        <v>165</v>
      </c>
      <c r="B20" s="4" t="s">
        <v>214</v>
      </c>
      <c r="C20" s="4" t="s">
        <v>175</v>
      </c>
      <c r="D20" s="19">
        <v>3352851</v>
      </c>
      <c r="E20" s="4" t="s">
        <v>215</v>
      </c>
    </row>
    <row r="21" spans="1:5" x14ac:dyDescent="0.25">
      <c r="A21" s="4" t="s">
        <v>165</v>
      </c>
      <c r="B21" s="4" t="s">
        <v>216</v>
      </c>
      <c r="C21" s="4" t="s">
        <v>175</v>
      </c>
      <c r="D21" s="19">
        <v>3437342</v>
      </c>
      <c r="E21" s="4" t="s">
        <v>217</v>
      </c>
    </row>
    <row r="22" spans="1:5" x14ac:dyDescent="0.25">
      <c r="A22" s="4" t="s">
        <v>165</v>
      </c>
      <c r="B22" s="4" t="s">
        <v>218</v>
      </c>
      <c r="C22" s="4" t="s">
        <v>175</v>
      </c>
      <c r="D22" s="19">
        <v>3328583</v>
      </c>
      <c r="E22" s="4" t="s">
        <v>219</v>
      </c>
    </row>
    <row r="23" spans="1:5" x14ac:dyDescent="0.25">
      <c r="A23" s="4" t="s">
        <v>165</v>
      </c>
      <c r="B23" s="4" t="s">
        <v>220</v>
      </c>
      <c r="C23" s="4" t="s">
        <v>175</v>
      </c>
      <c r="D23" s="19">
        <v>3377534</v>
      </c>
      <c r="E23" s="4" t="s">
        <v>221</v>
      </c>
    </row>
    <row r="24" spans="1:5" x14ac:dyDescent="0.25">
      <c r="A24" s="4" t="s">
        <v>165</v>
      </c>
      <c r="B24" s="4" t="s">
        <v>222</v>
      </c>
      <c r="C24" s="4" t="s">
        <v>175</v>
      </c>
      <c r="D24" s="19">
        <v>3352665</v>
      </c>
      <c r="E24" s="4" t="s">
        <v>223</v>
      </c>
    </row>
    <row r="25" spans="1:5" x14ac:dyDescent="0.25">
      <c r="A25" s="4" t="s">
        <v>165</v>
      </c>
      <c r="B25" s="4" t="s">
        <v>224</v>
      </c>
      <c r="C25" s="4" t="s">
        <v>175</v>
      </c>
      <c r="D25" s="19">
        <v>3352486</v>
      </c>
      <c r="E25" s="4" t="s">
        <v>225</v>
      </c>
    </row>
    <row r="26" spans="1:5" x14ac:dyDescent="0.25">
      <c r="A26" s="4" t="s">
        <v>165</v>
      </c>
      <c r="B26" s="4" t="s">
        <v>226</v>
      </c>
      <c r="C26" s="4" t="s">
        <v>175</v>
      </c>
      <c r="D26" s="19">
        <v>3385455</v>
      </c>
      <c r="E26" s="4" t="s">
        <v>227</v>
      </c>
    </row>
    <row r="27" spans="1:5" x14ac:dyDescent="0.25">
      <c r="A27" s="4" t="s">
        <v>165</v>
      </c>
      <c r="B27" s="4" t="s">
        <v>228</v>
      </c>
      <c r="C27" s="4" t="s">
        <v>175</v>
      </c>
      <c r="D27" s="19">
        <v>3380334</v>
      </c>
      <c r="E27" s="4" t="s">
        <v>229</v>
      </c>
    </row>
    <row r="28" spans="1:5" x14ac:dyDescent="0.25">
      <c r="A28" s="4" t="s">
        <v>165</v>
      </c>
      <c r="B28" s="4" t="s">
        <v>230</v>
      </c>
      <c r="C28" s="4" t="s">
        <v>175</v>
      </c>
      <c r="D28" s="19">
        <v>3381933</v>
      </c>
      <c r="E28" s="4" t="s">
        <v>231</v>
      </c>
    </row>
    <row r="29" spans="1:5" x14ac:dyDescent="0.25">
      <c r="A29" s="4" t="s">
        <v>165</v>
      </c>
      <c r="B29" s="4" t="s">
        <v>232</v>
      </c>
      <c r="C29" s="4" t="s">
        <v>175</v>
      </c>
      <c r="D29" s="19">
        <v>3459934</v>
      </c>
      <c r="E29" s="4" t="s">
        <v>233</v>
      </c>
    </row>
    <row r="30" spans="1:5" x14ac:dyDescent="0.25">
      <c r="A30" s="4" t="s">
        <v>165</v>
      </c>
      <c r="B30" s="4" t="s">
        <v>234</v>
      </c>
      <c r="C30" s="4" t="s">
        <v>175</v>
      </c>
      <c r="D30" s="19">
        <v>3472032</v>
      </c>
      <c r="E30" s="4" t="s">
        <v>235</v>
      </c>
    </row>
    <row r="31" spans="1:5" x14ac:dyDescent="0.25">
      <c r="A31" s="4" t="s">
        <v>165</v>
      </c>
      <c r="B31" s="4" t="s">
        <v>222</v>
      </c>
      <c r="C31" s="4" t="s">
        <v>175</v>
      </c>
      <c r="D31" s="19">
        <v>3347189</v>
      </c>
      <c r="E31" s="4" t="s">
        <v>236</v>
      </c>
    </row>
    <row r="32" spans="1:5" x14ac:dyDescent="0.25">
      <c r="A32" s="4" t="s">
        <v>165</v>
      </c>
      <c r="B32" s="4" t="s">
        <v>228</v>
      </c>
      <c r="C32" s="4" t="s">
        <v>175</v>
      </c>
      <c r="D32" s="19">
        <v>3380328</v>
      </c>
      <c r="E32" s="4" t="s">
        <v>237</v>
      </c>
    </row>
    <row r="33" spans="1:5" x14ac:dyDescent="0.25">
      <c r="A33" s="4" t="s">
        <v>165</v>
      </c>
      <c r="B33" s="4" t="s">
        <v>238</v>
      </c>
      <c r="C33" s="4" t="s">
        <v>175</v>
      </c>
      <c r="D33" s="19">
        <v>3437478</v>
      </c>
      <c r="E33" s="4" t="s">
        <v>239</v>
      </c>
    </row>
    <row r="34" spans="1:5" x14ac:dyDescent="0.25">
      <c r="A34" s="4" t="s">
        <v>165</v>
      </c>
      <c r="B34" s="4" t="s">
        <v>230</v>
      </c>
      <c r="C34" s="4" t="s">
        <v>175</v>
      </c>
      <c r="D34" s="19">
        <v>3381816</v>
      </c>
      <c r="E34" s="4" t="s">
        <v>240</v>
      </c>
    </row>
    <row r="35" spans="1:5" x14ac:dyDescent="0.25">
      <c r="A35" s="4" t="s">
        <v>165</v>
      </c>
      <c r="B35" s="4" t="s">
        <v>206</v>
      </c>
      <c r="C35" s="4" t="s">
        <v>185</v>
      </c>
      <c r="D35" s="19">
        <v>57172659</v>
      </c>
      <c r="E35" s="4" t="s">
        <v>241</v>
      </c>
    </row>
    <row r="36" spans="1:5" x14ac:dyDescent="0.25">
      <c r="A36" s="4" t="s">
        <v>165</v>
      </c>
      <c r="B36" s="4" t="s">
        <v>242</v>
      </c>
      <c r="C36" s="4" t="s">
        <v>243</v>
      </c>
      <c r="D36" s="19">
        <v>110</v>
      </c>
      <c r="E36" s="4" t="s">
        <v>244</v>
      </c>
    </row>
    <row r="37" spans="1:5" x14ac:dyDescent="0.25">
      <c r="A37" s="4" t="s">
        <v>165</v>
      </c>
      <c r="B37" s="4" t="s">
        <v>245</v>
      </c>
      <c r="C37" s="4" t="s">
        <v>173</v>
      </c>
      <c r="D37" s="19">
        <v>1170</v>
      </c>
      <c r="E37" s="4" t="s">
        <v>246</v>
      </c>
    </row>
    <row r="38" spans="1:5" x14ac:dyDescent="0.25">
      <c r="A38" s="4" t="s">
        <v>165</v>
      </c>
      <c r="B38" s="4" t="s">
        <v>247</v>
      </c>
      <c r="C38" s="4" t="s">
        <v>248</v>
      </c>
      <c r="D38" s="19">
        <v>5152</v>
      </c>
      <c r="E38" s="4" t="s">
        <v>249</v>
      </c>
    </row>
    <row r="39" spans="1:5" x14ac:dyDescent="0.25">
      <c r="A39" s="4" t="s">
        <v>165</v>
      </c>
      <c r="B39" s="4" t="s">
        <v>250</v>
      </c>
      <c r="C39" s="4" t="s">
        <v>251</v>
      </c>
      <c r="D39" s="19">
        <v>16406</v>
      </c>
      <c r="E39" s="4" t="s">
        <v>252</v>
      </c>
    </row>
    <row r="40" spans="1:5" x14ac:dyDescent="0.25">
      <c r="A40" s="4" t="s">
        <v>165</v>
      </c>
      <c r="B40" s="4" t="s">
        <v>253</v>
      </c>
      <c r="C40" s="4" t="s">
        <v>173</v>
      </c>
      <c r="D40" s="19">
        <v>2055</v>
      </c>
      <c r="E40" s="4" t="s">
        <v>254</v>
      </c>
    </row>
    <row r="41" spans="1:5" x14ac:dyDescent="0.25">
      <c r="A41" s="4" t="s">
        <v>165</v>
      </c>
      <c r="B41" s="4" t="s">
        <v>255</v>
      </c>
      <c r="C41" s="4" t="s">
        <v>248</v>
      </c>
      <c r="D41" s="19">
        <v>5152</v>
      </c>
      <c r="E41" s="4" t="s">
        <v>256</v>
      </c>
    </row>
    <row r="42" spans="1:5" x14ac:dyDescent="0.25">
      <c r="A42" s="4" t="s">
        <v>165</v>
      </c>
      <c r="B42" s="4" t="s">
        <v>257</v>
      </c>
      <c r="C42" s="4" t="s">
        <v>243</v>
      </c>
      <c r="D42" s="19">
        <v>42</v>
      </c>
      <c r="E42" s="4" t="s">
        <v>258</v>
      </c>
    </row>
    <row r="43" spans="1:5" x14ac:dyDescent="0.25">
      <c r="A43" s="4" t="s">
        <v>165</v>
      </c>
      <c r="B43" s="4" t="s">
        <v>259</v>
      </c>
      <c r="C43" s="4" t="s">
        <v>173</v>
      </c>
      <c r="D43" s="19">
        <v>752</v>
      </c>
      <c r="E43" s="4" t="s">
        <v>260</v>
      </c>
    </row>
    <row r="44" spans="1:5" x14ac:dyDescent="0.25">
      <c r="A44" s="4" t="s">
        <v>165</v>
      </c>
      <c r="B44" s="4" t="s">
        <v>261</v>
      </c>
      <c r="C44" s="4" t="s">
        <v>248</v>
      </c>
      <c r="D44" s="19">
        <v>5152</v>
      </c>
      <c r="E44" s="4" t="s">
        <v>262</v>
      </c>
    </row>
    <row r="45" spans="1:5" x14ac:dyDescent="0.25">
      <c r="A45" s="4" t="s">
        <v>165</v>
      </c>
      <c r="B45" s="4" t="s">
        <v>263</v>
      </c>
      <c r="C45" s="4" t="s">
        <v>251</v>
      </c>
      <c r="D45" s="19">
        <v>28694</v>
      </c>
      <c r="E45" s="4" t="s">
        <v>264</v>
      </c>
    </row>
    <row r="46" spans="1:5" x14ac:dyDescent="0.25">
      <c r="A46" s="4" t="s">
        <v>165</v>
      </c>
      <c r="B46" s="4" t="s">
        <v>265</v>
      </c>
      <c r="C46" s="4" t="s">
        <v>251</v>
      </c>
      <c r="D46" s="19">
        <v>12310</v>
      </c>
      <c r="E46" s="4" t="s">
        <v>266</v>
      </c>
    </row>
    <row r="47" spans="1:5" x14ac:dyDescent="0.25">
      <c r="A47" s="4" t="s">
        <v>165</v>
      </c>
      <c r="B47" s="4" t="s">
        <v>267</v>
      </c>
      <c r="C47" s="4" t="s">
        <v>251</v>
      </c>
      <c r="D47" s="19">
        <v>12310</v>
      </c>
      <c r="E47" s="4" t="s">
        <v>268</v>
      </c>
    </row>
    <row r="48" spans="1:5" x14ac:dyDescent="0.25">
      <c r="A48" s="4" t="s">
        <v>165</v>
      </c>
      <c r="B48" s="4" t="s">
        <v>269</v>
      </c>
      <c r="C48" s="4" t="s">
        <v>270</v>
      </c>
      <c r="D48" s="19">
        <v>45400</v>
      </c>
      <c r="E48" s="4" t="s">
        <v>271</v>
      </c>
    </row>
    <row r="49" spans="1:5" x14ac:dyDescent="0.25">
      <c r="A49" s="4" t="s">
        <v>165</v>
      </c>
      <c r="B49" s="4" t="s">
        <v>272</v>
      </c>
      <c r="C49" s="4" t="s">
        <v>243</v>
      </c>
      <c r="D49" s="19">
        <v>310</v>
      </c>
      <c r="E49" s="4" t="s">
        <v>273</v>
      </c>
    </row>
    <row r="50" spans="1:5" x14ac:dyDescent="0.25">
      <c r="A50" s="4" t="s">
        <v>165</v>
      </c>
      <c r="B50" s="4" t="s">
        <v>274</v>
      </c>
      <c r="C50" s="4" t="s">
        <v>173</v>
      </c>
      <c r="D50" s="19">
        <v>3563542</v>
      </c>
      <c r="E50" s="4" t="s">
        <v>275</v>
      </c>
    </row>
    <row r="51" spans="1:5" x14ac:dyDescent="0.25">
      <c r="A51" s="4" t="s">
        <v>165</v>
      </c>
      <c r="B51" s="4" t="s">
        <v>276</v>
      </c>
      <c r="C51" s="4" t="s">
        <v>248</v>
      </c>
      <c r="D51" s="19">
        <v>5152</v>
      </c>
      <c r="E51" s="4" t="s">
        <v>277</v>
      </c>
    </row>
    <row r="52" spans="1:5" x14ac:dyDescent="0.25">
      <c r="A52" s="4" t="s">
        <v>165</v>
      </c>
      <c r="B52" s="4" t="s">
        <v>278</v>
      </c>
      <c r="C52" s="4" t="s">
        <v>279</v>
      </c>
      <c r="D52" s="19">
        <v>32</v>
      </c>
      <c r="E52" s="4" t="s">
        <v>280</v>
      </c>
    </row>
    <row r="53" spans="1:5" x14ac:dyDescent="0.25">
      <c r="A53" s="4" t="s">
        <v>165</v>
      </c>
      <c r="B53" s="4" t="s">
        <v>281</v>
      </c>
      <c r="C53" s="4" t="s">
        <v>282</v>
      </c>
      <c r="D53" s="19">
        <v>4118</v>
      </c>
      <c r="E53" s="4" t="s">
        <v>283</v>
      </c>
    </row>
    <row r="54" spans="1:5" x14ac:dyDescent="0.25">
      <c r="A54" s="4" t="s">
        <v>165</v>
      </c>
      <c r="B54" s="4" t="s">
        <v>284</v>
      </c>
      <c r="C54" s="4" t="s">
        <v>251</v>
      </c>
      <c r="D54" s="19">
        <v>12310</v>
      </c>
      <c r="E54" s="4" t="s">
        <v>285</v>
      </c>
    </row>
    <row r="55" spans="1:5" x14ac:dyDescent="0.25">
      <c r="A55" s="4" t="s">
        <v>165</v>
      </c>
      <c r="B55" s="4" t="s">
        <v>286</v>
      </c>
      <c r="C55" s="4" t="s">
        <v>251</v>
      </c>
      <c r="D55" s="19">
        <v>4118</v>
      </c>
      <c r="E55" s="4" t="s">
        <v>287</v>
      </c>
    </row>
    <row r="56" spans="1:5" x14ac:dyDescent="0.25">
      <c r="A56" s="4" t="s">
        <v>165</v>
      </c>
      <c r="B56" s="4" t="s">
        <v>288</v>
      </c>
      <c r="C56" s="4" t="s">
        <v>251</v>
      </c>
      <c r="D56" s="19">
        <v>4118</v>
      </c>
      <c r="E56" s="4" t="s">
        <v>289</v>
      </c>
    </row>
    <row r="57" spans="1:5" x14ac:dyDescent="0.25">
      <c r="A57" s="4" t="s">
        <v>165</v>
      </c>
      <c r="B57" s="4" t="s">
        <v>290</v>
      </c>
      <c r="C57" s="4" t="s">
        <v>243</v>
      </c>
      <c r="D57" s="19">
        <v>296</v>
      </c>
      <c r="E57" s="4" t="s">
        <v>291</v>
      </c>
    </row>
    <row r="58" spans="1:5" x14ac:dyDescent="0.25">
      <c r="A58" s="4" t="s">
        <v>165</v>
      </c>
      <c r="B58" s="4" t="s">
        <v>292</v>
      </c>
      <c r="C58" s="4" t="s">
        <v>173</v>
      </c>
      <c r="D58" s="19">
        <v>2071</v>
      </c>
      <c r="E58" s="4" t="s">
        <v>293</v>
      </c>
    </row>
    <row r="59" spans="1:5" x14ac:dyDescent="0.25">
      <c r="A59" s="4" t="s">
        <v>165</v>
      </c>
      <c r="B59" s="4" t="s">
        <v>294</v>
      </c>
      <c r="C59" s="4" t="s">
        <v>248</v>
      </c>
      <c r="D59" s="19">
        <v>5152</v>
      </c>
      <c r="E59" s="4" t="s">
        <v>295</v>
      </c>
    </row>
    <row r="60" spans="1:5" x14ac:dyDescent="0.25">
      <c r="A60" s="4" t="s">
        <v>165</v>
      </c>
      <c r="B60" s="4" t="s">
        <v>296</v>
      </c>
      <c r="C60" s="4" t="s">
        <v>251</v>
      </c>
      <c r="D60" s="19">
        <v>12310</v>
      </c>
      <c r="E60" s="4" t="s">
        <v>297</v>
      </c>
    </row>
    <row r="61" spans="1:5" x14ac:dyDescent="0.25">
      <c r="A61" s="4" t="s">
        <v>165</v>
      </c>
      <c r="B61" s="4" t="s">
        <v>298</v>
      </c>
      <c r="C61" s="4" t="s">
        <v>251</v>
      </c>
      <c r="D61" s="19">
        <v>16406</v>
      </c>
      <c r="E61" s="4" t="s">
        <v>299</v>
      </c>
    </row>
    <row r="62" spans="1:5" x14ac:dyDescent="0.25">
      <c r="A62" s="4" t="s">
        <v>165</v>
      </c>
      <c r="B62" s="4" t="s">
        <v>300</v>
      </c>
      <c r="C62" s="4" t="s">
        <v>251</v>
      </c>
      <c r="D62" s="19">
        <v>12310</v>
      </c>
      <c r="E62" s="4" t="s">
        <v>301</v>
      </c>
    </row>
    <row r="63" spans="1:5" x14ac:dyDescent="0.25">
      <c r="A63" s="4" t="s">
        <v>165</v>
      </c>
      <c r="B63" s="4" t="s">
        <v>302</v>
      </c>
      <c r="C63" s="4" t="s">
        <v>251</v>
      </c>
      <c r="D63" s="19">
        <v>12310</v>
      </c>
      <c r="E63" s="4" t="s">
        <v>303</v>
      </c>
    </row>
    <row r="64" spans="1:5" x14ac:dyDescent="0.25">
      <c r="A64" s="4" t="s">
        <v>165</v>
      </c>
      <c r="B64" s="4" t="s">
        <v>304</v>
      </c>
      <c r="C64" s="4" t="s">
        <v>243</v>
      </c>
      <c r="D64" s="19">
        <v>318</v>
      </c>
      <c r="E64" s="4" t="s">
        <v>305</v>
      </c>
    </row>
    <row r="65" spans="1:5" x14ac:dyDescent="0.25">
      <c r="A65" s="4" t="s">
        <v>165</v>
      </c>
      <c r="B65" s="4" t="s">
        <v>306</v>
      </c>
      <c r="C65" s="4" t="s">
        <v>173</v>
      </c>
      <c r="D65" s="19">
        <v>12746</v>
      </c>
      <c r="E65" s="4" t="s">
        <v>307</v>
      </c>
    </row>
    <row r="66" spans="1:5" x14ac:dyDescent="0.25">
      <c r="A66" s="4" t="s">
        <v>165</v>
      </c>
      <c r="B66" s="4" t="s">
        <v>308</v>
      </c>
      <c r="C66" s="4" t="s">
        <v>248</v>
      </c>
      <c r="D66" s="19">
        <v>5152</v>
      </c>
      <c r="E66" s="4" t="s">
        <v>309</v>
      </c>
    </row>
    <row r="67" spans="1:5" x14ac:dyDescent="0.25">
      <c r="A67" s="4" t="s">
        <v>165</v>
      </c>
      <c r="B67" s="4" t="s">
        <v>310</v>
      </c>
      <c r="C67" s="4" t="s">
        <v>251</v>
      </c>
      <c r="D67" s="19">
        <v>12310</v>
      </c>
      <c r="E67" s="4" t="s">
        <v>311</v>
      </c>
    </row>
    <row r="68" spans="1:5" x14ac:dyDescent="0.25">
      <c r="A68" s="4" t="s">
        <v>165</v>
      </c>
      <c r="B68" s="4" t="s">
        <v>312</v>
      </c>
      <c r="C68" s="4" t="s">
        <v>251</v>
      </c>
      <c r="D68" s="19">
        <v>4118</v>
      </c>
      <c r="E68" s="4" t="s">
        <v>313</v>
      </c>
    </row>
    <row r="69" spans="1:5" x14ac:dyDescent="0.25">
      <c r="A69" s="4" t="s">
        <v>165</v>
      </c>
      <c r="B69" s="4" t="s">
        <v>314</v>
      </c>
      <c r="C69" s="4" t="s">
        <v>251</v>
      </c>
      <c r="D69" s="19">
        <v>12310</v>
      </c>
      <c r="E69" s="4" t="s">
        <v>315</v>
      </c>
    </row>
    <row r="70" spans="1:5" x14ac:dyDescent="0.25">
      <c r="A70" s="4" t="s">
        <v>165</v>
      </c>
      <c r="B70" s="4" t="s">
        <v>316</v>
      </c>
      <c r="C70" s="4" t="s">
        <v>251</v>
      </c>
      <c r="D70" s="19">
        <v>12310</v>
      </c>
      <c r="E70" s="4" t="s">
        <v>317</v>
      </c>
    </row>
    <row r="71" spans="1:5" x14ac:dyDescent="0.25">
      <c r="A71" s="4" t="s">
        <v>165</v>
      </c>
      <c r="B71" s="4" t="s">
        <v>318</v>
      </c>
      <c r="C71" s="4" t="s">
        <v>251</v>
      </c>
      <c r="D71" s="19">
        <v>4118</v>
      </c>
      <c r="E71" s="4" t="s">
        <v>319</v>
      </c>
    </row>
    <row r="72" spans="1:5" x14ac:dyDescent="0.25">
      <c r="A72" s="4" t="s">
        <v>165</v>
      </c>
      <c r="B72" s="4" t="s">
        <v>320</v>
      </c>
      <c r="C72" s="4" t="s">
        <v>251</v>
      </c>
      <c r="D72" s="19">
        <v>4118</v>
      </c>
      <c r="E72" s="4" t="s">
        <v>321</v>
      </c>
    </row>
    <row r="73" spans="1:5" x14ac:dyDescent="0.25">
      <c r="A73" s="4" t="s">
        <v>165</v>
      </c>
      <c r="B73" s="4" t="s">
        <v>322</v>
      </c>
      <c r="C73" s="4" t="s">
        <v>243</v>
      </c>
      <c r="D73" s="19">
        <v>602</v>
      </c>
      <c r="E73" s="4" t="s">
        <v>323</v>
      </c>
    </row>
    <row r="74" spans="1:5" x14ac:dyDescent="0.25">
      <c r="A74" s="4" t="s">
        <v>165</v>
      </c>
      <c r="B74" s="4" t="s">
        <v>324</v>
      </c>
      <c r="C74" s="4" t="s">
        <v>173</v>
      </c>
      <c r="D74" s="19">
        <v>3626</v>
      </c>
      <c r="E74" s="4" t="s">
        <v>325</v>
      </c>
    </row>
    <row r="75" spans="1:5" x14ac:dyDescent="0.25">
      <c r="A75" s="4" t="s">
        <v>165</v>
      </c>
      <c r="B75" s="4" t="s">
        <v>326</v>
      </c>
      <c r="C75" s="4" t="s">
        <v>248</v>
      </c>
      <c r="D75" s="19">
        <v>5152</v>
      </c>
      <c r="E75" s="4" t="s">
        <v>327</v>
      </c>
    </row>
    <row r="76" spans="1:5" x14ac:dyDescent="0.25">
      <c r="A76" s="4" t="s">
        <v>165</v>
      </c>
      <c r="B76" s="4" t="s">
        <v>328</v>
      </c>
      <c r="C76" s="4" t="s">
        <v>251</v>
      </c>
      <c r="D76" s="19">
        <v>4118</v>
      </c>
      <c r="E76" s="4" t="s">
        <v>329</v>
      </c>
    </row>
    <row r="77" spans="1:5" x14ac:dyDescent="0.25">
      <c r="A77" s="4" t="s">
        <v>165</v>
      </c>
      <c r="B77" s="4" t="s">
        <v>330</v>
      </c>
      <c r="C77" s="4" t="s">
        <v>251</v>
      </c>
      <c r="D77" s="19">
        <v>4118</v>
      </c>
      <c r="E77" s="4" t="s">
        <v>331</v>
      </c>
    </row>
    <row r="78" spans="1:5" x14ac:dyDescent="0.25">
      <c r="A78" s="4" t="s">
        <v>165</v>
      </c>
      <c r="B78" s="4" t="s">
        <v>332</v>
      </c>
      <c r="C78" s="4" t="s">
        <v>251</v>
      </c>
      <c r="D78" s="19">
        <v>4118</v>
      </c>
      <c r="E78" s="4" t="s">
        <v>333</v>
      </c>
    </row>
    <row r="79" spans="1:5" x14ac:dyDescent="0.25">
      <c r="A79" s="4" t="s">
        <v>165</v>
      </c>
      <c r="B79" s="4" t="s">
        <v>334</v>
      </c>
      <c r="C79" s="4" t="s">
        <v>251</v>
      </c>
      <c r="D79" s="19">
        <v>4118</v>
      </c>
      <c r="E79" s="4" t="s">
        <v>335</v>
      </c>
    </row>
    <row r="80" spans="1:5" x14ac:dyDescent="0.25">
      <c r="A80" s="4" t="s">
        <v>165</v>
      </c>
      <c r="B80" s="4" t="s">
        <v>336</v>
      </c>
      <c r="C80" s="4" t="s">
        <v>243</v>
      </c>
      <c r="D80" s="19">
        <v>378</v>
      </c>
      <c r="E80" s="4" t="s">
        <v>337</v>
      </c>
    </row>
    <row r="81" spans="1:5" x14ac:dyDescent="0.25">
      <c r="A81" s="4" t="s">
        <v>165</v>
      </c>
      <c r="B81" s="4" t="s">
        <v>338</v>
      </c>
      <c r="C81" s="4" t="s">
        <v>173</v>
      </c>
      <c r="D81" s="19">
        <v>334</v>
      </c>
      <c r="E81" s="4" t="s">
        <v>339</v>
      </c>
    </row>
    <row r="82" spans="1:5" x14ac:dyDescent="0.25">
      <c r="A82" s="4" t="s">
        <v>165</v>
      </c>
      <c r="B82" s="4" t="s">
        <v>340</v>
      </c>
      <c r="C82" s="4" t="s">
        <v>248</v>
      </c>
      <c r="D82" s="19">
        <v>32</v>
      </c>
      <c r="E82" s="4" t="s">
        <v>341</v>
      </c>
    </row>
    <row r="83" spans="1:5" x14ac:dyDescent="0.25">
      <c r="A83" s="4" t="s">
        <v>165</v>
      </c>
      <c r="B83" s="4" t="s">
        <v>342</v>
      </c>
      <c r="C83" s="4" t="s">
        <v>251</v>
      </c>
      <c r="D83" s="19">
        <v>4118</v>
      </c>
      <c r="E83" s="4" t="s">
        <v>343</v>
      </c>
    </row>
    <row r="84" spans="1:5" x14ac:dyDescent="0.25">
      <c r="A84" s="4" t="s">
        <v>165</v>
      </c>
      <c r="B84" s="4" t="s">
        <v>344</v>
      </c>
      <c r="C84" s="4" t="s">
        <v>251</v>
      </c>
      <c r="D84" s="19">
        <v>4118</v>
      </c>
      <c r="E84" s="4" t="s">
        <v>345</v>
      </c>
    </row>
    <row r="85" spans="1:5" x14ac:dyDescent="0.25">
      <c r="A85" s="4" t="s">
        <v>165</v>
      </c>
      <c r="B85" s="4" t="s">
        <v>346</v>
      </c>
      <c r="C85" s="4" t="s">
        <v>251</v>
      </c>
      <c r="D85" s="19">
        <v>4118</v>
      </c>
      <c r="E85" s="4" t="s">
        <v>347</v>
      </c>
    </row>
    <row r="86" spans="1:5" x14ac:dyDescent="0.25">
      <c r="A86" s="4" t="s">
        <v>165</v>
      </c>
      <c r="B86" s="4" t="s">
        <v>348</v>
      </c>
      <c r="C86" s="4" t="s">
        <v>243</v>
      </c>
      <c r="D86" s="19">
        <v>344</v>
      </c>
      <c r="E86" s="4" t="s">
        <v>349</v>
      </c>
    </row>
    <row r="87" spans="1:5" x14ac:dyDescent="0.25">
      <c r="A87" s="4" t="s">
        <v>165</v>
      </c>
      <c r="B87" s="4" t="s">
        <v>350</v>
      </c>
      <c r="C87" s="4" t="s">
        <v>173</v>
      </c>
      <c r="D87" s="19">
        <v>127</v>
      </c>
      <c r="E87" s="4" t="s">
        <v>351</v>
      </c>
    </row>
    <row r="88" spans="1:5" x14ac:dyDescent="0.25">
      <c r="A88" s="4" t="s">
        <v>165</v>
      </c>
      <c r="B88" s="4" t="s">
        <v>352</v>
      </c>
      <c r="C88" s="4" t="s">
        <v>248</v>
      </c>
      <c r="D88" s="19">
        <v>32</v>
      </c>
      <c r="E88" s="4" t="s">
        <v>353</v>
      </c>
    </row>
    <row r="89" spans="1:5" x14ac:dyDescent="0.25">
      <c r="A89" s="4" t="s">
        <v>165</v>
      </c>
      <c r="B89" s="4" t="s">
        <v>354</v>
      </c>
      <c r="C89" s="4" t="s">
        <v>243</v>
      </c>
      <c r="D89" s="19">
        <v>116</v>
      </c>
      <c r="E89" s="4" t="s">
        <v>355</v>
      </c>
    </row>
    <row r="90" spans="1:5" x14ac:dyDescent="0.25">
      <c r="A90" s="4" t="s">
        <v>165</v>
      </c>
      <c r="B90" s="4" t="s">
        <v>356</v>
      </c>
      <c r="C90" s="4" t="s">
        <v>173</v>
      </c>
      <c r="D90" s="19">
        <v>2611498</v>
      </c>
      <c r="E90" s="4" t="s">
        <v>357</v>
      </c>
    </row>
    <row r="91" spans="1:5" x14ac:dyDescent="0.25">
      <c r="A91" s="4" t="s">
        <v>165</v>
      </c>
      <c r="B91" s="4" t="s">
        <v>358</v>
      </c>
      <c r="C91" s="4" t="s">
        <v>248</v>
      </c>
      <c r="D91" s="19">
        <v>10272</v>
      </c>
      <c r="E91" s="4" t="s">
        <v>359</v>
      </c>
    </row>
    <row r="92" spans="1:5" x14ac:dyDescent="0.25">
      <c r="A92" s="4" t="s">
        <v>165</v>
      </c>
      <c r="B92" s="4" t="s">
        <v>360</v>
      </c>
      <c r="C92" s="4" t="s">
        <v>279</v>
      </c>
      <c r="D92" s="19">
        <v>32</v>
      </c>
      <c r="E92" s="4" t="s">
        <v>361</v>
      </c>
    </row>
    <row r="93" spans="1:5" x14ac:dyDescent="0.25">
      <c r="A93" s="4" t="s">
        <v>165</v>
      </c>
      <c r="B93" s="4" t="s">
        <v>362</v>
      </c>
      <c r="C93" s="4" t="s">
        <v>282</v>
      </c>
      <c r="D93" s="19">
        <v>40982</v>
      </c>
      <c r="E93" s="4" t="s">
        <v>363</v>
      </c>
    </row>
    <row r="94" spans="1:5" x14ac:dyDescent="0.25">
      <c r="A94" s="4" t="s">
        <v>165</v>
      </c>
      <c r="B94" s="4" t="s">
        <v>364</v>
      </c>
      <c r="C94" s="4" t="s">
        <v>243</v>
      </c>
      <c r="D94" s="19">
        <v>116</v>
      </c>
      <c r="E94" s="4" t="s">
        <v>365</v>
      </c>
    </row>
    <row r="95" spans="1:5" x14ac:dyDescent="0.25">
      <c r="A95" s="4" t="s">
        <v>165</v>
      </c>
      <c r="B95" s="4" t="s">
        <v>366</v>
      </c>
      <c r="C95" s="4" t="s">
        <v>173</v>
      </c>
      <c r="D95" s="19">
        <v>9016</v>
      </c>
      <c r="E95" s="4" t="s">
        <v>367</v>
      </c>
    </row>
    <row r="96" spans="1:5" x14ac:dyDescent="0.25">
      <c r="A96" s="4" t="s">
        <v>165</v>
      </c>
      <c r="B96" s="4" t="s">
        <v>368</v>
      </c>
      <c r="C96" s="4" t="s">
        <v>248</v>
      </c>
      <c r="D96" s="19">
        <v>5152</v>
      </c>
      <c r="E96" s="4" t="s">
        <v>369</v>
      </c>
    </row>
    <row r="97" spans="1:5" x14ac:dyDescent="0.25">
      <c r="A97" s="4" t="s">
        <v>165</v>
      </c>
      <c r="B97" s="4" t="s">
        <v>370</v>
      </c>
      <c r="C97" s="4" t="s">
        <v>279</v>
      </c>
      <c r="D97" s="19">
        <v>32</v>
      </c>
      <c r="E97" s="4" t="s">
        <v>371</v>
      </c>
    </row>
    <row r="98" spans="1:5" x14ac:dyDescent="0.25">
      <c r="A98" s="4" t="s">
        <v>165</v>
      </c>
      <c r="B98" s="4" t="s">
        <v>372</v>
      </c>
      <c r="C98" s="4" t="s">
        <v>282</v>
      </c>
      <c r="D98" s="19">
        <v>4118</v>
      </c>
      <c r="E98" s="4" t="s">
        <v>373</v>
      </c>
    </row>
    <row r="99" spans="1:5" x14ac:dyDescent="0.25">
      <c r="A99" s="4" t="s">
        <v>165</v>
      </c>
      <c r="B99" s="4" t="s">
        <v>374</v>
      </c>
      <c r="C99" s="4" t="s">
        <v>243</v>
      </c>
      <c r="D99" s="19">
        <v>116</v>
      </c>
      <c r="E99" s="4" t="s">
        <v>375</v>
      </c>
    </row>
    <row r="100" spans="1:5" x14ac:dyDescent="0.25">
      <c r="A100" s="4" t="s">
        <v>165</v>
      </c>
      <c r="B100" s="4" t="s">
        <v>376</v>
      </c>
      <c r="C100" s="4" t="s">
        <v>173</v>
      </c>
      <c r="D100" s="19">
        <v>22423</v>
      </c>
      <c r="E100" s="4" t="s">
        <v>377</v>
      </c>
    </row>
    <row r="101" spans="1:5" x14ac:dyDescent="0.25">
      <c r="A101" s="4" t="s">
        <v>165</v>
      </c>
      <c r="B101" s="4" t="s">
        <v>378</v>
      </c>
      <c r="C101" s="4" t="s">
        <v>248</v>
      </c>
      <c r="D101" s="19">
        <v>5152</v>
      </c>
      <c r="E101" s="4" t="s">
        <v>379</v>
      </c>
    </row>
    <row r="102" spans="1:5" x14ac:dyDescent="0.25">
      <c r="A102" s="4" t="s">
        <v>165</v>
      </c>
      <c r="B102" s="4" t="s">
        <v>380</v>
      </c>
      <c r="C102" s="4" t="s">
        <v>279</v>
      </c>
      <c r="D102" s="19">
        <v>32</v>
      </c>
      <c r="E102" s="4" t="s">
        <v>381</v>
      </c>
    </row>
    <row r="103" spans="1:5" x14ac:dyDescent="0.25">
      <c r="A103" s="4" t="s">
        <v>165</v>
      </c>
      <c r="B103" s="4" t="s">
        <v>382</v>
      </c>
      <c r="C103" s="4" t="s">
        <v>282</v>
      </c>
      <c r="D103" s="19">
        <v>4118</v>
      </c>
      <c r="E103" s="4" t="s">
        <v>383</v>
      </c>
    </row>
    <row r="104" spans="1:5" x14ac:dyDescent="0.25">
      <c r="A104" s="4" t="s">
        <v>165</v>
      </c>
      <c r="B104" s="4" t="s">
        <v>384</v>
      </c>
      <c r="C104" s="4" t="s">
        <v>243</v>
      </c>
      <c r="D104" s="19">
        <v>116</v>
      </c>
      <c r="E104" s="4" t="s">
        <v>385</v>
      </c>
    </row>
    <row r="105" spans="1:5" x14ac:dyDescent="0.25">
      <c r="A105" s="4" t="s">
        <v>165</v>
      </c>
      <c r="B105" s="4" t="s">
        <v>386</v>
      </c>
      <c r="C105" s="4" t="s">
        <v>173</v>
      </c>
      <c r="D105" s="19">
        <v>1039</v>
      </c>
      <c r="E105" s="4" t="s">
        <v>387</v>
      </c>
    </row>
    <row r="106" spans="1:5" x14ac:dyDescent="0.25">
      <c r="A106" s="4" t="s">
        <v>165</v>
      </c>
      <c r="B106" s="4" t="s">
        <v>388</v>
      </c>
      <c r="C106" s="4" t="s">
        <v>248</v>
      </c>
      <c r="D106" s="19">
        <v>5152</v>
      </c>
      <c r="E106" s="4" t="s">
        <v>389</v>
      </c>
    </row>
    <row r="107" spans="1:5" x14ac:dyDescent="0.25">
      <c r="A107" s="4" t="s">
        <v>165</v>
      </c>
      <c r="B107" s="4" t="s">
        <v>390</v>
      </c>
      <c r="C107" s="4" t="s">
        <v>279</v>
      </c>
      <c r="D107" s="19">
        <v>32</v>
      </c>
      <c r="E107" s="4" t="s">
        <v>391</v>
      </c>
    </row>
    <row r="108" spans="1:5" x14ac:dyDescent="0.25">
      <c r="A108" s="4" t="s">
        <v>165</v>
      </c>
      <c r="B108" s="4" t="s">
        <v>392</v>
      </c>
      <c r="C108" s="4" t="s">
        <v>282</v>
      </c>
      <c r="D108" s="19">
        <v>4118</v>
      </c>
      <c r="E108" s="4" t="s">
        <v>393</v>
      </c>
    </row>
    <row r="109" spans="1:5" x14ac:dyDescent="0.25">
      <c r="A109" s="4" t="s">
        <v>165</v>
      </c>
      <c r="B109" s="4" t="s">
        <v>394</v>
      </c>
      <c r="C109" s="4" t="s">
        <v>243</v>
      </c>
      <c r="D109" s="19">
        <v>116</v>
      </c>
      <c r="E109" s="4" t="s">
        <v>395</v>
      </c>
    </row>
    <row r="110" spans="1:5" x14ac:dyDescent="0.25">
      <c r="A110" s="4" t="s">
        <v>165</v>
      </c>
      <c r="B110" s="4" t="s">
        <v>396</v>
      </c>
      <c r="C110" s="4" t="s">
        <v>173</v>
      </c>
      <c r="D110" s="19">
        <v>12053</v>
      </c>
      <c r="E110" s="4" t="s">
        <v>397</v>
      </c>
    </row>
    <row r="111" spans="1:5" x14ac:dyDescent="0.25">
      <c r="A111" s="4" t="s">
        <v>165</v>
      </c>
      <c r="B111" s="4" t="s">
        <v>398</v>
      </c>
      <c r="C111" s="4" t="s">
        <v>248</v>
      </c>
      <c r="D111" s="19">
        <v>5152</v>
      </c>
      <c r="E111" s="4" t="s">
        <v>399</v>
      </c>
    </row>
    <row r="112" spans="1:5" x14ac:dyDescent="0.25">
      <c r="A112" s="4" t="s">
        <v>165</v>
      </c>
      <c r="B112" s="4" t="s">
        <v>400</v>
      </c>
      <c r="C112" s="4" t="s">
        <v>279</v>
      </c>
      <c r="D112" s="19">
        <v>32</v>
      </c>
      <c r="E112" s="4" t="s">
        <v>401</v>
      </c>
    </row>
    <row r="113" spans="1:5" x14ac:dyDescent="0.25">
      <c r="A113" s="4" t="s">
        <v>165</v>
      </c>
      <c r="B113" s="4" t="s">
        <v>402</v>
      </c>
      <c r="C113" s="4" t="s">
        <v>282</v>
      </c>
      <c r="D113" s="19">
        <v>4118</v>
      </c>
      <c r="E113" s="4" t="s">
        <v>403</v>
      </c>
    </row>
    <row r="114" spans="1:5" x14ac:dyDescent="0.25">
      <c r="A114" s="4" t="s">
        <v>165</v>
      </c>
      <c r="B114" s="4" t="s">
        <v>404</v>
      </c>
      <c r="C114" s="4" t="s">
        <v>251</v>
      </c>
      <c r="D114" s="19">
        <v>4118</v>
      </c>
      <c r="E114" s="4" t="s">
        <v>405</v>
      </c>
    </row>
    <row r="115" spans="1:5" x14ac:dyDescent="0.25">
      <c r="A115" s="4" t="s">
        <v>165</v>
      </c>
      <c r="B115" s="4" t="s">
        <v>406</v>
      </c>
      <c r="C115" s="4" t="s">
        <v>270</v>
      </c>
      <c r="D115" s="19">
        <v>4440</v>
      </c>
      <c r="E115" s="4" t="s">
        <v>407</v>
      </c>
    </row>
    <row r="116" spans="1:5" x14ac:dyDescent="0.25">
      <c r="A116" s="4" t="s">
        <v>165</v>
      </c>
      <c r="B116" s="4" t="s">
        <v>408</v>
      </c>
      <c r="C116" s="4" t="s">
        <v>243</v>
      </c>
      <c r="D116" s="19">
        <v>276</v>
      </c>
      <c r="E116" s="4" t="s">
        <v>409</v>
      </c>
    </row>
    <row r="117" spans="1:5" x14ac:dyDescent="0.25">
      <c r="A117" s="4" t="s">
        <v>165</v>
      </c>
      <c r="B117" s="4" t="s">
        <v>410</v>
      </c>
      <c r="C117" s="4" t="s">
        <v>173</v>
      </c>
      <c r="D117" s="19">
        <v>77157</v>
      </c>
      <c r="E117" s="4" t="s">
        <v>411</v>
      </c>
    </row>
    <row r="118" spans="1:5" x14ac:dyDescent="0.25">
      <c r="A118" s="4" t="s">
        <v>165</v>
      </c>
      <c r="B118" s="4" t="s">
        <v>412</v>
      </c>
      <c r="C118" s="4" t="s">
        <v>248</v>
      </c>
      <c r="D118" s="19">
        <v>5152</v>
      </c>
      <c r="E118" s="4" t="s">
        <v>413</v>
      </c>
    </row>
    <row r="119" spans="1:5" x14ac:dyDescent="0.25">
      <c r="A119" s="4" t="s">
        <v>165</v>
      </c>
      <c r="B119" s="4" t="s">
        <v>414</v>
      </c>
      <c r="C119" s="4" t="s">
        <v>279</v>
      </c>
      <c r="D119" s="19">
        <v>32</v>
      </c>
      <c r="E119" s="4" t="s">
        <v>415</v>
      </c>
    </row>
    <row r="120" spans="1:5" x14ac:dyDescent="0.25">
      <c r="A120" s="4" t="s">
        <v>165</v>
      </c>
      <c r="B120" s="4" t="s">
        <v>416</v>
      </c>
      <c r="C120" s="4" t="s">
        <v>282</v>
      </c>
      <c r="D120" s="19">
        <v>12310</v>
      </c>
      <c r="E120" s="4" t="s">
        <v>417</v>
      </c>
    </row>
    <row r="121" spans="1:5" x14ac:dyDescent="0.25">
      <c r="A121" s="4" t="s">
        <v>165</v>
      </c>
      <c r="B121" s="4" t="s">
        <v>418</v>
      </c>
      <c r="C121" s="4" t="s">
        <v>251</v>
      </c>
      <c r="D121" s="19">
        <v>4118</v>
      </c>
      <c r="E121" s="4" t="s">
        <v>419</v>
      </c>
    </row>
    <row r="122" spans="1:5" x14ac:dyDescent="0.25">
      <c r="A122" s="4" t="s">
        <v>165</v>
      </c>
      <c r="B122" s="4" t="s">
        <v>420</v>
      </c>
      <c r="C122" s="4" t="s">
        <v>251</v>
      </c>
      <c r="D122" s="19">
        <v>4118</v>
      </c>
      <c r="E122" s="4" t="s">
        <v>421</v>
      </c>
    </row>
    <row r="123" spans="1:5" x14ac:dyDescent="0.25">
      <c r="A123" s="4" t="s">
        <v>165</v>
      </c>
      <c r="B123" s="4" t="s">
        <v>422</v>
      </c>
      <c r="C123" s="4" t="s">
        <v>270</v>
      </c>
      <c r="D123" s="19">
        <v>4440</v>
      </c>
      <c r="E123" s="4" t="s">
        <v>423</v>
      </c>
    </row>
    <row r="124" spans="1:5" x14ac:dyDescent="0.25">
      <c r="A124" s="4" t="s">
        <v>165</v>
      </c>
      <c r="B124" s="4" t="s">
        <v>424</v>
      </c>
      <c r="C124" s="4" t="s">
        <v>243</v>
      </c>
      <c r="D124" s="19">
        <v>276</v>
      </c>
      <c r="E124" s="4" t="s">
        <v>425</v>
      </c>
    </row>
    <row r="125" spans="1:5" x14ac:dyDescent="0.25">
      <c r="A125" s="4" t="s">
        <v>165</v>
      </c>
      <c r="B125" s="4" t="s">
        <v>426</v>
      </c>
      <c r="C125" s="4" t="s">
        <v>173</v>
      </c>
      <c r="D125" s="19">
        <v>3048</v>
      </c>
      <c r="E125" s="4" t="s">
        <v>427</v>
      </c>
    </row>
    <row r="126" spans="1:5" x14ac:dyDescent="0.25">
      <c r="A126" s="4" t="s">
        <v>165</v>
      </c>
      <c r="B126" s="4" t="s">
        <v>428</v>
      </c>
      <c r="C126" s="4" t="s">
        <v>248</v>
      </c>
      <c r="D126" s="19">
        <v>5152</v>
      </c>
      <c r="E126" s="4" t="s">
        <v>429</v>
      </c>
    </row>
    <row r="127" spans="1:5" x14ac:dyDescent="0.25">
      <c r="A127" s="4" t="s">
        <v>165</v>
      </c>
      <c r="B127" s="4" t="s">
        <v>430</v>
      </c>
      <c r="C127" s="4" t="s">
        <v>279</v>
      </c>
      <c r="D127" s="19">
        <v>32</v>
      </c>
      <c r="E127" s="4" t="s">
        <v>431</v>
      </c>
    </row>
    <row r="128" spans="1:5" x14ac:dyDescent="0.25">
      <c r="A128" s="4" t="s">
        <v>165</v>
      </c>
      <c r="B128" s="4" t="s">
        <v>432</v>
      </c>
      <c r="C128" s="4" t="s">
        <v>282</v>
      </c>
      <c r="D128" s="19">
        <v>4118</v>
      </c>
      <c r="E128" s="4" t="s">
        <v>433</v>
      </c>
    </row>
    <row r="129" spans="1:5" x14ac:dyDescent="0.25">
      <c r="A129" s="4" t="s">
        <v>165</v>
      </c>
      <c r="B129" s="4" t="s">
        <v>434</v>
      </c>
      <c r="C129" s="4" t="s">
        <v>251</v>
      </c>
      <c r="D129" s="19">
        <v>4118</v>
      </c>
      <c r="E129" s="4" t="s">
        <v>435</v>
      </c>
    </row>
    <row r="130" spans="1:5" x14ac:dyDescent="0.25">
      <c r="A130" s="4" t="s">
        <v>165</v>
      </c>
      <c r="B130" s="4" t="s">
        <v>436</v>
      </c>
      <c r="C130" s="4" t="s">
        <v>243</v>
      </c>
      <c r="D130" s="19">
        <v>116</v>
      </c>
      <c r="E130" s="4" t="s">
        <v>437</v>
      </c>
    </row>
    <row r="131" spans="1:5" x14ac:dyDescent="0.25">
      <c r="A131" s="4" t="s">
        <v>165</v>
      </c>
      <c r="B131" s="4" t="s">
        <v>438</v>
      </c>
      <c r="C131" s="4" t="s">
        <v>173</v>
      </c>
      <c r="D131" s="19">
        <v>1417</v>
      </c>
      <c r="E131" s="4" t="s">
        <v>439</v>
      </c>
    </row>
    <row r="132" spans="1:5" x14ac:dyDescent="0.25">
      <c r="A132" s="4" t="s">
        <v>165</v>
      </c>
      <c r="B132" s="4" t="s">
        <v>440</v>
      </c>
      <c r="C132" s="4" t="s">
        <v>248</v>
      </c>
      <c r="D132" s="19">
        <v>5152</v>
      </c>
      <c r="E132" s="4" t="s">
        <v>441</v>
      </c>
    </row>
    <row r="133" spans="1:5" x14ac:dyDescent="0.25">
      <c r="A133" s="4" t="s">
        <v>165</v>
      </c>
      <c r="B133" s="4" t="s">
        <v>442</v>
      </c>
      <c r="C133" s="4" t="s">
        <v>279</v>
      </c>
      <c r="D133" s="19">
        <v>32</v>
      </c>
      <c r="E133" s="4" t="s">
        <v>443</v>
      </c>
    </row>
    <row r="134" spans="1:5" x14ac:dyDescent="0.25">
      <c r="A134" s="4" t="s">
        <v>165</v>
      </c>
      <c r="B134" s="4" t="s">
        <v>444</v>
      </c>
      <c r="C134" s="4" t="s">
        <v>282</v>
      </c>
      <c r="D134" s="19">
        <v>4118</v>
      </c>
      <c r="E134" s="4" t="s">
        <v>445</v>
      </c>
    </row>
    <row r="135" spans="1:5" x14ac:dyDescent="0.25">
      <c r="A135" s="4" t="s">
        <v>165</v>
      </c>
      <c r="B135" s="4" t="s">
        <v>446</v>
      </c>
      <c r="C135" s="4" t="s">
        <v>243</v>
      </c>
      <c r="D135" s="19">
        <v>116</v>
      </c>
      <c r="E135" s="4" t="s">
        <v>447</v>
      </c>
    </row>
    <row r="136" spans="1:5" x14ac:dyDescent="0.25">
      <c r="A136" s="4" t="s">
        <v>165</v>
      </c>
      <c r="B136" s="4" t="s">
        <v>448</v>
      </c>
      <c r="C136" s="4" t="s">
        <v>173</v>
      </c>
      <c r="D136" s="19">
        <v>6954</v>
      </c>
      <c r="E136" s="4" t="s">
        <v>449</v>
      </c>
    </row>
    <row r="137" spans="1:5" x14ac:dyDescent="0.25">
      <c r="A137" s="4" t="s">
        <v>165</v>
      </c>
      <c r="B137" s="4" t="s">
        <v>450</v>
      </c>
      <c r="C137" s="4" t="s">
        <v>248</v>
      </c>
      <c r="D137" s="19">
        <v>5152</v>
      </c>
      <c r="E137" s="4" t="s">
        <v>451</v>
      </c>
    </row>
    <row r="138" spans="1:5" x14ac:dyDescent="0.25">
      <c r="A138" s="4" t="s">
        <v>165</v>
      </c>
      <c r="B138" s="4" t="s">
        <v>452</v>
      </c>
      <c r="C138" s="4" t="s">
        <v>279</v>
      </c>
      <c r="D138" s="19">
        <v>32</v>
      </c>
      <c r="E138" s="4" t="s">
        <v>453</v>
      </c>
    </row>
    <row r="139" spans="1:5" x14ac:dyDescent="0.25">
      <c r="A139" s="4" t="s">
        <v>165</v>
      </c>
      <c r="B139" s="4" t="s">
        <v>454</v>
      </c>
      <c r="C139" s="4" t="s">
        <v>282</v>
      </c>
      <c r="D139" s="19">
        <v>4118</v>
      </c>
      <c r="E139" s="4" t="s">
        <v>455</v>
      </c>
    </row>
    <row r="140" spans="1:5" x14ac:dyDescent="0.25">
      <c r="A140" s="4" t="s">
        <v>165</v>
      </c>
      <c r="B140" s="4" t="s">
        <v>456</v>
      </c>
      <c r="C140" s="4" t="s">
        <v>243</v>
      </c>
      <c r="D140" s="19">
        <v>116</v>
      </c>
      <c r="E140" s="4" t="s">
        <v>457</v>
      </c>
    </row>
    <row r="141" spans="1:5" x14ac:dyDescent="0.25">
      <c r="A141" s="4" t="s">
        <v>165</v>
      </c>
      <c r="B141" s="4" t="s">
        <v>458</v>
      </c>
      <c r="C141" s="4" t="s">
        <v>173</v>
      </c>
      <c r="D141" s="19">
        <v>14400</v>
      </c>
      <c r="E141" s="4" t="s">
        <v>459</v>
      </c>
    </row>
    <row r="142" spans="1:5" x14ac:dyDescent="0.25">
      <c r="A142" s="4" t="s">
        <v>165</v>
      </c>
      <c r="B142" s="4" t="s">
        <v>460</v>
      </c>
      <c r="C142" s="4" t="s">
        <v>248</v>
      </c>
      <c r="D142" s="19">
        <v>5152</v>
      </c>
      <c r="E142" s="4" t="s">
        <v>461</v>
      </c>
    </row>
    <row r="143" spans="1:5" x14ac:dyDescent="0.25">
      <c r="A143" s="4" t="s">
        <v>165</v>
      </c>
      <c r="B143" s="4" t="s">
        <v>462</v>
      </c>
      <c r="C143" s="4" t="s">
        <v>279</v>
      </c>
      <c r="D143" s="19">
        <v>32</v>
      </c>
      <c r="E143" s="4" t="s">
        <v>463</v>
      </c>
    </row>
    <row r="144" spans="1:5" x14ac:dyDescent="0.25">
      <c r="A144" s="4" t="s">
        <v>165</v>
      </c>
      <c r="B144" s="4" t="s">
        <v>464</v>
      </c>
      <c r="C144" s="4" t="s">
        <v>282</v>
      </c>
      <c r="D144" s="19">
        <v>4118</v>
      </c>
      <c r="E144" s="4" t="s">
        <v>465</v>
      </c>
    </row>
    <row r="145" spans="1:5" x14ac:dyDescent="0.25">
      <c r="A145" s="4" t="s">
        <v>165</v>
      </c>
      <c r="B145" s="4" t="s">
        <v>466</v>
      </c>
      <c r="C145" s="4" t="s">
        <v>251</v>
      </c>
      <c r="D145" s="19">
        <v>12310</v>
      </c>
      <c r="E145" s="4" t="s">
        <v>467</v>
      </c>
    </row>
    <row r="146" spans="1:5" x14ac:dyDescent="0.25">
      <c r="A146" s="4" t="s">
        <v>165</v>
      </c>
      <c r="B146" s="4" t="s">
        <v>468</v>
      </c>
      <c r="C146" s="4" t="s">
        <v>270</v>
      </c>
      <c r="D146" s="19">
        <v>4440</v>
      </c>
      <c r="E146" s="4" t="s">
        <v>469</v>
      </c>
    </row>
    <row r="147" spans="1:5" x14ac:dyDescent="0.25">
      <c r="A147" s="4" t="s">
        <v>165</v>
      </c>
      <c r="B147" s="4" t="s">
        <v>470</v>
      </c>
      <c r="C147" s="4" t="s">
        <v>243</v>
      </c>
      <c r="D147" s="19">
        <v>276</v>
      </c>
      <c r="E147" s="4" t="s">
        <v>471</v>
      </c>
    </row>
    <row r="148" spans="1:5" x14ac:dyDescent="0.25">
      <c r="A148" s="4" t="s">
        <v>165</v>
      </c>
      <c r="B148" s="4" t="s">
        <v>472</v>
      </c>
      <c r="C148" s="4" t="s">
        <v>173</v>
      </c>
      <c r="D148" s="19">
        <v>896656</v>
      </c>
      <c r="E148" s="4" t="s">
        <v>473</v>
      </c>
    </row>
    <row r="149" spans="1:5" x14ac:dyDescent="0.25">
      <c r="A149" s="4" t="s">
        <v>165</v>
      </c>
      <c r="B149" s="4" t="s">
        <v>474</v>
      </c>
      <c r="C149" s="4" t="s">
        <v>248</v>
      </c>
      <c r="D149" s="19">
        <v>5152</v>
      </c>
      <c r="E149" s="4" t="s">
        <v>475</v>
      </c>
    </row>
    <row r="150" spans="1:5" x14ac:dyDescent="0.25">
      <c r="A150" s="4" t="s">
        <v>165</v>
      </c>
      <c r="B150" s="4" t="s">
        <v>476</v>
      </c>
      <c r="C150" s="4" t="s">
        <v>279</v>
      </c>
      <c r="D150" s="19">
        <v>32</v>
      </c>
      <c r="E150" s="4" t="s">
        <v>477</v>
      </c>
    </row>
    <row r="151" spans="1:5" x14ac:dyDescent="0.25">
      <c r="A151" s="4" t="s">
        <v>165</v>
      </c>
      <c r="B151" s="4" t="s">
        <v>478</v>
      </c>
      <c r="C151" s="4" t="s">
        <v>282</v>
      </c>
      <c r="D151" s="19">
        <v>24598</v>
      </c>
      <c r="E151" s="4" t="s">
        <v>479</v>
      </c>
    </row>
    <row r="152" spans="1:5" x14ac:dyDescent="0.25">
      <c r="A152" s="4" t="s">
        <v>165</v>
      </c>
      <c r="B152" s="4" t="s">
        <v>480</v>
      </c>
      <c r="C152" s="4" t="s">
        <v>251</v>
      </c>
      <c r="D152" s="19">
        <v>4118</v>
      </c>
      <c r="E152" s="4" t="s">
        <v>481</v>
      </c>
    </row>
    <row r="153" spans="1:5" x14ac:dyDescent="0.25">
      <c r="A153" s="4" t="s">
        <v>165</v>
      </c>
      <c r="B153" s="4" t="s">
        <v>482</v>
      </c>
      <c r="C153" s="4" t="s">
        <v>243</v>
      </c>
      <c r="D153" s="19">
        <v>116</v>
      </c>
      <c r="E153" s="4" t="s">
        <v>483</v>
      </c>
    </row>
    <row r="154" spans="1:5" x14ac:dyDescent="0.25">
      <c r="A154" s="4" t="s">
        <v>165</v>
      </c>
      <c r="B154" s="4" t="s">
        <v>484</v>
      </c>
      <c r="C154" s="4" t="s">
        <v>173</v>
      </c>
      <c r="D154" s="19">
        <v>1307617</v>
      </c>
      <c r="E154" s="4" t="s">
        <v>485</v>
      </c>
    </row>
    <row r="155" spans="1:5" x14ac:dyDescent="0.25">
      <c r="A155" s="4" t="s">
        <v>165</v>
      </c>
      <c r="B155" s="4" t="s">
        <v>486</v>
      </c>
      <c r="C155" s="4" t="s">
        <v>248</v>
      </c>
      <c r="D155" s="19">
        <v>5152</v>
      </c>
      <c r="E155" s="4" t="s">
        <v>487</v>
      </c>
    </row>
    <row r="156" spans="1:5" x14ac:dyDescent="0.25">
      <c r="A156" s="4" t="s">
        <v>165</v>
      </c>
      <c r="B156" s="4" t="s">
        <v>488</v>
      </c>
      <c r="C156" s="4" t="s">
        <v>279</v>
      </c>
      <c r="D156" s="19">
        <v>32</v>
      </c>
      <c r="E156" s="4" t="s">
        <v>489</v>
      </c>
    </row>
    <row r="157" spans="1:5" x14ac:dyDescent="0.25">
      <c r="A157" s="4" t="s">
        <v>165</v>
      </c>
      <c r="B157" s="4" t="s">
        <v>490</v>
      </c>
      <c r="C157" s="4" t="s">
        <v>282</v>
      </c>
      <c r="D157" s="19">
        <v>4118</v>
      </c>
      <c r="E157" s="4" t="s">
        <v>491</v>
      </c>
    </row>
    <row r="158" spans="1:5" x14ac:dyDescent="0.25">
      <c r="A158" s="4" t="s">
        <v>165</v>
      </c>
      <c r="B158" s="4" t="s">
        <v>492</v>
      </c>
      <c r="C158" s="4" t="s">
        <v>251</v>
      </c>
      <c r="D158" s="19">
        <v>4118</v>
      </c>
      <c r="E158" s="4" t="s">
        <v>493</v>
      </c>
    </row>
    <row r="159" spans="1:5" x14ac:dyDescent="0.25">
      <c r="A159" s="4" t="s">
        <v>165</v>
      </c>
      <c r="B159" s="4" t="s">
        <v>494</v>
      </c>
      <c r="C159" s="4" t="s">
        <v>270</v>
      </c>
      <c r="D159" s="19">
        <v>4440</v>
      </c>
      <c r="E159" s="4" t="s">
        <v>495</v>
      </c>
    </row>
    <row r="160" spans="1:5" x14ac:dyDescent="0.25">
      <c r="A160" s="4" t="s">
        <v>165</v>
      </c>
      <c r="B160" s="4" t="s">
        <v>496</v>
      </c>
      <c r="C160" s="4" t="s">
        <v>243</v>
      </c>
      <c r="D160" s="19">
        <v>276</v>
      </c>
      <c r="E160" s="4" t="s">
        <v>497</v>
      </c>
    </row>
    <row r="161" spans="1:5" x14ac:dyDescent="0.25">
      <c r="A161" s="4" t="s">
        <v>165</v>
      </c>
      <c r="B161" s="4" t="s">
        <v>498</v>
      </c>
      <c r="C161" s="4" t="s">
        <v>173</v>
      </c>
      <c r="D161" s="19">
        <v>64881</v>
      </c>
      <c r="E161" s="4" t="s">
        <v>499</v>
      </c>
    </row>
    <row r="162" spans="1:5" x14ac:dyDescent="0.25">
      <c r="A162" s="4" t="s">
        <v>165</v>
      </c>
      <c r="B162" s="4" t="s">
        <v>500</v>
      </c>
      <c r="C162" s="4" t="s">
        <v>248</v>
      </c>
      <c r="D162" s="19">
        <v>5152</v>
      </c>
      <c r="E162" s="4" t="s">
        <v>501</v>
      </c>
    </row>
    <row r="163" spans="1:5" x14ac:dyDescent="0.25">
      <c r="A163" s="4" t="s">
        <v>165</v>
      </c>
      <c r="B163" s="4" t="s">
        <v>502</v>
      </c>
      <c r="C163" s="4" t="s">
        <v>279</v>
      </c>
      <c r="D163" s="19">
        <v>32</v>
      </c>
      <c r="E163" s="4" t="s">
        <v>503</v>
      </c>
    </row>
    <row r="164" spans="1:5" x14ac:dyDescent="0.25">
      <c r="A164" s="4" t="s">
        <v>165</v>
      </c>
      <c r="B164" s="4" t="s">
        <v>504</v>
      </c>
      <c r="C164" s="4" t="s">
        <v>282</v>
      </c>
      <c r="D164" s="19">
        <v>4118</v>
      </c>
      <c r="E164" s="4" t="s">
        <v>505</v>
      </c>
    </row>
    <row r="165" spans="1:5" x14ac:dyDescent="0.25">
      <c r="A165" s="4" t="s">
        <v>165</v>
      </c>
      <c r="B165" s="4" t="s">
        <v>506</v>
      </c>
      <c r="C165" s="4" t="s">
        <v>251</v>
      </c>
      <c r="D165" s="19">
        <v>4118</v>
      </c>
      <c r="E165" s="4" t="s">
        <v>507</v>
      </c>
    </row>
    <row r="166" spans="1:5" x14ac:dyDescent="0.25">
      <c r="A166" s="4" t="s">
        <v>165</v>
      </c>
      <c r="B166" s="4" t="s">
        <v>508</v>
      </c>
      <c r="C166" s="4" t="s">
        <v>243</v>
      </c>
      <c r="D166" s="19">
        <v>116</v>
      </c>
      <c r="E166" s="4" t="s">
        <v>509</v>
      </c>
    </row>
    <row r="167" spans="1:5" x14ac:dyDescent="0.25">
      <c r="A167" s="4" t="s">
        <v>165</v>
      </c>
      <c r="B167" s="4" t="s">
        <v>510</v>
      </c>
      <c r="C167" s="4" t="s">
        <v>173</v>
      </c>
      <c r="D167" s="19">
        <v>3236064</v>
      </c>
      <c r="E167" s="4" t="s">
        <v>511</v>
      </c>
    </row>
    <row r="168" spans="1:5" x14ac:dyDescent="0.25">
      <c r="A168" s="4" t="s">
        <v>165</v>
      </c>
      <c r="B168" s="4" t="s">
        <v>512</v>
      </c>
      <c r="C168" s="4" t="s">
        <v>248</v>
      </c>
      <c r="D168" s="19">
        <v>15392</v>
      </c>
      <c r="E168" s="4" t="s">
        <v>513</v>
      </c>
    </row>
    <row r="169" spans="1:5" x14ac:dyDescent="0.25">
      <c r="A169" s="4" t="s">
        <v>165</v>
      </c>
      <c r="B169" s="4" t="s">
        <v>514</v>
      </c>
      <c r="C169" s="4" t="s">
        <v>279</v>
      </c>
      <c r="D169" s="19">
        <v>32</v>
      </c>
      <c r="E169" s="4" t="s">
        <v>515</v>
      </c>
    </row>
    <row r="170" spans="1:5" x14ac:dyDescent="0.25">
      <c r="A170" s="4" t="s">
        <v>165</v>
      </c>
      <c r="B170" s="4" t="s">
        <v>516</v>
      </c>
      <c r="C170" s="4" t="s">
        <v>282</v>
      </c>
      <c r="D170" s="19">
        <v>61462</v>
      </c>
      <c r="E170" s="4" t="s">
        <v>517</v>
      </c>
    </row>
    <row r="171" spans="1:5" x14ac:dyDescent="0.25">
      <c r="A171" s="4" t="s">
        <v>165</v>
      </c>
      <c r="B171" s="4" t="s">
        <v>518</v>
      </c>
      <c r="C171" s="4" t="s">
        <v>243</v>
      </c>
      <c r="D171" s="19">
        <v>116</v>
      </c>
      <c r="E171" s="4" t="s">
        <v>519</v>
      </c>
    </row>
    <row r="172" spans="1:5" x14ac:dyDescent="0.25">
      <c r="A172" s="4" t="s">
        <v>165</v>
      </c>
      <c r="B172" s="4" t="s">
        <v>520</v>
      </c>
      <c r="C172" s="4" t="s">
        <v>173</v>
      </c>
      <c r="D172" s="19">
        <v>1255</v>
      </c>
      <c r="E172" s="4" t="s">
        <v>521</v>
      </c>
    </row>
    <row r="173" spans="1:5" x14ac:dyDescent="0.25">
      <c r="A173" s="4" t="s">
        <v>165</v>
      </c>
      <c r="B173" s="4" t="s">
        <v>522</v>
      </c>
      <c r="C173" s="4" t="s">
        <v>248</v>
      </c>
      <c r="D173" s="19">
        <v>5152</v>
      </c>
      <c r="E173" s="4" t="s">
        <v>523</v>
      </c>
    </row>
    <row r="174" spans="1:5" x14ac:dyDescent="0.25">
      <c r="A174" s="4" t="s">
        <v>165</v>
      </c>
      <c r="B174" s="4" t="s">
        <v>524</v>
      </c>
      <c r="C174" s="4" t="s">
        <v>279</v>
      </c>
      <c r="D174" s="19">
        <v>32</v>
      </c>
      <c r="E174" s="4" t="s">
        <v>525</v>
      </c>
    </row>
    <row r="175" spans="1:5" x14ac:dyDescent="0.25">
      <c r="A175" s="4" t="s">
        <v>165</v>
      </c>
      <c r="B175" s="4" t="s">
        <v>526</v>
      </c>
      <c r="C175" s="4" t="s">
        <v>282</v>
      </c>
      <c r="D175" s="19">
        <v>4118</v>
      </c>
      <c r="E175" s="4" t="s">
        <v>527</v>
      </c>
    </row>
    <row r="176" spans="1:5" x14ac:dyDescent="0.25">
      <c r="A176" s="4" t="s">
        <v>165</v>
      </c>
      <c r="B176" s="4" t="s">
        <v>528</v>
      </c>
      <c r="C176" s="4" t="s">
        <v>243</v>
      </c>
      <c r="D176" s="19">
        <v>116</v>
      </c>
      <c r="E176" s="4" t="s">
        <v>529</v>
      </c>
    </row>
    <row r="177" spans="1:5" x14ac:dyDescent="0.25">
      <c r="A177" s="4" t="s">
        <v>165</v>
      </c>
      <c r="B177" s="4" t="s">
        <v>530</v>
      </c>
      <c r="C177" s="4" t="s">
        <v>173</v>
      </c>
      <c r="D177" s="19">
        <v>6069</v>
      </c>
      <c r="E177" s="4" t="s">
        <v>531</v>
      </c>
    </row>
    <row r="178" spans="1:5" x14ac:dyDescent="0.25">
      <c r="A178" s="4" t="s">
        <v>165</v>
      </c>
      <c r="B178" s="4" t="s">
        <v>532</v>
      </c>
      <c r="C178" s="4" t="s">
        <v>248</v>
      </c>
      <c r="D178" s="19">
        <v>5152</v>
      </c>
      <c r="E178" s="4" t="s">
        <v>533</v>
      </c>
    </row>
    <row r="179" spans="1:5" x14ac:dyDescent="0.25">
      <c r="A179" s="4" t="s">
        <v>165</v>
      </c>
      <c r="B179" s="4" t="s">
        <v>534</v>
      </c>
      <c r="C179" s="4" t="s">
        <v>279</v>
      </c>
      <c r="D179" s="19">
        <v>32</v>
      </c>
      <c r="E179" s="4" t="s">
        <v>535</v>
      </c>
    </row>
    <row r="180" spans="1:5" x14ac:dyDescent="0.25">
      <c r="A180" s="4" t="s">
        <v>165</v>
      </c>
      <c r="B180" s="4" t="s">
        <v>536</v>
      </c>
      <c r="C180" s="4" t="s">
        <v>282</v>
      </c>
      <c r="D180" s="19">
        <v>4118</v>
      </c>
      <c r="E180" s="4" t="s">
        <v>537</v>
      </c>
    </row>
    <row r="181" spans="1:5" x14ac:dyDescent="0.25">
      <c r="A181" s="4" t="s">
        <v>165</v>
      </c>
      <c r="B181" s="4" t="s">
        <v>538</v>
      </c>
      <c r="C181" s="4" t="s">
        <v>251</v>
      </c>
      <c r="D181" s="19">
        <v>20502</v>
      </c>
      <c r="E181" s="4" t="s">
        <v>539</v>
      </c>
    </row>
    <row r="182" spans="1:5" x14ac:dyDescent="0.25">
      <c r="A182" s="4" t="s">
        <v>165</v>
      </c>
      <c r="B182" s="4" t="s">
        <v>540</v>
      </c>
      <c r="C182" s="4" t="s">
        <v>270</v>
      </c>
      <c r="D182" s="19">
        <v>4440</v>
      </c>
      <c r="E182" s="4" t="s">
        <v>541</v>
      </c>
    </row>
    <row r="183" spans="1:5" x14ac:dyDescent="0.25">
      <c r="A183" s="4" t="s">
        <v>165</v>
      </c>
      <c r="B183" s="4" t="s">
        <v>542</v>
      </c>
      <c r="C183" s="4" t="s">
        <v>243</v>
      </c>
      <c r="D183" s="19">
        <v>276</v>
      </c>
      <c r="E183" s="4" t="s">
        <v>543</v>
      </c>
    </row>
    <row r="184" spans="1:5" x14ac:dyDescent="0.25">
      <c r="A184" s="4" t="s">
        <v>165</v>
      </c>
      <c r="B184" s="4" t="s">
        <v>544</v>
      </c>
      <c r="C184" s="4" t="s">
        <v>173</v>
      </c>
      <c r="D184" s="19">
        <v>1858245</v>
      </c>
      <c r="E184" s="4" t="s">
        <v>545</v>
      </c>
    </row>
    <row r="185" spans="1:5" x14ac:dyDescent="0.25">
      <c r="A185" s="4" t="s">
        <v>165</v>
      </c>
      <c r="B185" s="4" t="s">
        <v>546</v>
      </c>
      <c r="C185" s="4" t="s">
        <v>248</v>
      </c>
      <c r="D185" s="19">
        <v>10272</v>
      </c>
      <c r="E185" s="4" t="s">
        <v>547</v>
      </c>
    </row>
    <row r="186" spans="1:5" x14ac:dyDescent="0.25">
      <c r="A186" s="4" t="s">
        <v>165</v>
      </c>
      <c r="B186" s="4" t="s">
        <v>548</v>
      </c>
      <c r="C186" s="4" t="s">
        <v>279</v>
      </c>
      <c r="D186" s="19">
        <v>32</v>
      </c>
      <c r="E186" s="4" t="s">
        <v>549</v>
      </c>
    </row>
    <row r="187" spans="1:5" x14ac:dyDescent="0.25">
      <c r="A187" s="4" t="s">
        <v>165</v>
      </c>
      <c r="B187" s="4" t="s">
        <v>550</v>
      </c>
      <c r="C187" s="4" t="s">
        <v>282</v>
      </c>
      <c r="D187" s="19">
        <v>69654</v>
      </c>
      <c r="E187" s="4" t="s">
        <v>551</v>
      </c>
    </row>
    <row r="188" spans="1:5" x14ac:dyDescent="0.25">
      <c r="A188" s="4" t="s">
        <v>165</v>
      </c>
      <c r="B188" s="4" t="s">
        <v>552</v>
      </c>
      <c r="C188" s="4" t="s">
        <v>251</v>
      </c>
      <c r="D188" s="19">
        <v>16406</v>
      </c>
      <c r="E188" s="4" t="s">
        <v>553</v>
      </c>
    </row>
    <row r="189" spans="1:5" x14ac:dyDescent="0.25">
      <c r="A189" s="4" t="s">
        <v>165</v>
      </c>
      <c r="B189" s="4" t="s">
        <v>554</v>
      </c>
      <c r="C189" s="4" t="s">
        <v>243</v>
      </c>
      <c r="D189" s="19">
        <v>116</v>
      </c>
      <c r="E189" s="4" t="s">
        <v>555</v>
      </c>
    </row>
    <row r="190" spans="1:5" x14ac:dyDescent="0.25">
      <c r="A190" s="4" t="s">
        <v>165</v>
      </c>
      <c r="B190" s="4" t="s">
        <v>556</v>
      </c>
      <c r="C190" s="4" t="s">
        <v>173</v>
      </c>
      <c r="D190" s="19">
        <v>18312894</v>
      </c>
      <c r="E190" s="4" t="s">
        <v>557</v>
      </c>
    </row>
    <row r="191" spans="1:5" x14ac:dyDescent="0.25">
      <c r="A191" s="4" t="s">
        <v>165</v>
      </c>
      <c r="B191" s="4" t="s">
        <v>558</v>
      </c>
      <c r="C191" s="4" t="s">
        <v>248</v>
      </c>
      <c r="D191" s="19">
        <v>10272</v>
      </c>
      <c r="E191" s="4" t="s">
        <v>559</v>
      </c>
    </row>
    <row r="192" spans="1:5" x14ac:dyDescent="0.25">
      <c r="A192" s="4" t="s">
        <v>165</v>
      </c>
      <c r="B192" s="4" t="s">
        <v>560</v>
      </c>
      <c r="C192" s="4" t="s">
        <v>279</v>
      </c>
      <c r="D192" s="19">
        <v>32</v>
      </c>
      <c r="E192" s="4" t="s">
        <v>561</v>
      </c>
    </row>
    <row r="193" spans="1:5" x14ac:dyDescent="0.25">
      <c r="A193" s="4" t="s">
        <v>165</v>
      </c>
      <c r="B193" s="4" t="s">
        <v>562</v>
      </c>
      <c r="C193" s="4" t="s">
        <v>282</v>
      </c>
      <c r="D193" s="19">
        <v>40982</v>
      </c>
      <c r="E193" s="4" t="s">
        <v>563</v>
      </c>
    </row>
    <row r="194" spans="1:5" x14ac:dyDescent="0.25">
      <c r="A194" s="4" t="s">
        <v>165</v>
      </c>
      <c r="B194" s="4" t="s">
        <v>564</v>
      </c>
      <c r="C194" s="4" t="s">
        <v>243</v>
      </c>
      <c r="D194" s="19">
        <v>116</v>
      </c>
      <c r="E194" s="4" t="s">
        <v>565</v>
      </c>
    </row>
    <row r="195" spans="1:5" x14ac:dyDescent="0.25">
      <c r="A195" s="4" t="s">
        <v>165</v>
      </c>
      <c r="B195" s="4" t="s">
        <v>566</v>
      </c>
      <c r="C195" s="4" t="s">
        <v>173</v>
      </c>
      <c r="D195" s="19">
        <v>10208</v>
      </c>
      <c r="E195" s="4" t="s">
        <v>567</v>
      </c>
    </row>
    <row r="196" spans="1:5" x14ac:dyDescent="0.25">
      <c r="A196" s="4" t="s">
        <v>165</v>
      </c>
      <c r="B196" s="4" t="s">
        <v>568</v>
      </c>
      <c r="C196" s="4" t="s">
        <v>248</v>
      </c>
      <c r="D196" s="19">
        <v>5152</v>
      </c>
      <c r="E196" s="4" t="s">
        <v>569</v>
      </c>
    </row>
    <row r="197" spans="1:5" x14ac:dyDescent="0.25">
      <c r="A197" s="4" t="s">
        <v>165</v>
      </c>
      <c r="B197" s="4" t="s">
        <v>570</v>
      </c>
      <c r="C197" s="4" t="s">
        <v>279</v>
      </c>
      <c r="D197" s="19">
        <v>32</v>
      </c>
      <c r="E197" s="4" t="s">
        <v>571</v>
      </c>
    </row>
    <row r="198" spans="1:5" x14ac:dyDescent="0.25">
      <c r="A198" s="4" t="s">
        <v>165</v>
      </c>
      <c r="B198" s="4" t="s">
        <v>572</v>
      </c>
      <c r="C198" s="4" t="s">
        <v>282</v>
      </c>
      <c r="D198" s="19">
        <v>4118</v>
      </c>
      <c r="E198" s="4" t="s">
        <v>573</v>
      </c>
    </row>
    <row r="199" spans="1:5" x14ac:dyDescent="0.25">
      <c r="A199" s="4" t="s">
        <v>165</v>
      </c>
      <c r="B199" s="4" t="s">
        <v>574</v>
      </c>
      <c r="C199" s="4" t="s">
        <v>251</v>
      </c>
      <c r="D199" s="19">
        <v>4118</v>
      </c>
      <c r="E199" s="4" t="s">
        <v>575</v>
      </c>
    </row>
    <row r="200" spans="1:5" x14ac:dyDescent="0.25">
      <c r="A200" s="4" t="s">
        <v>165</v>
      </c>
      <c r="B200" s="4" t="s">
        <v>576</v>
      </c>
      <c r="C200" s="4" t="s">
        <v>270</v>
      </c>
      <c r="D200" s="19">
        <v>4440</v>
      </c>
      <c r="E200" s="4" t="s">
        <v>577</v>
      </c>
    </row>
    <row r="201" spans="1:5" x14ac:dyDescent="0.25">
      <c r="A201" s="4" t="s">
        <v>165</v>
      </c>
      <c r="B201" s="4" t="s">
        <v>578</v>
      </c>
      <c r="C201" s="4" t="s">
        <v>243</v>
      </c>
      <c r="D201" s="19">
        <v>276</v>
      </c>
      <c r="E201" s="4" t="s">
        <v>579</v>
      </c>
    </row>
    <row r="202" spans="1:5" x14ac:dyDescent="0.25">
      <c r="A202" s="4" t="s">
        <v>165</v>
      </c>
      <c r="B202" s="4" t="s">
        <v>580</v>
      </c>
      <c r="C202" s="4" t="s">
        <v>173</v>
      </c>
      <c r="D202" s="19">
        <v>77565</v>
      </c>
      <c r="E202" s="4" t="s">
        <v>581</v>
      </c>
    </row>
    <row r="203" spans="1:5" x14ac:dyDescent="0.25">
      <c r="A203" s="4" t="s">
        <v>165</v>
      </c>
      <c r="B203" s="4" t="s">
        <v>582</v>
      </c>
      <c r="C203" s="4" t="s">
        <v>248</v>
      </c>
      <c r="D203" s="19">
        <v>5152</v>
      </c>
      <c r="E203" s="4" t="s">
        <v>583</v>
      </c>
    </row>
    <row r="204" spans="1:5" x14ac:dyDescent="0.25">
      <c r="A204" s="4" t="s">
        <v>165</v>
      </c>
      <c r="B204" s="4" t="s">
        <v>584</v>
      </c>
      <c r="C204" s="4" t="s">
        <v>279</v>
      </c>
      <c r="D204" s="19">
        <v>32</v>
      </c>
      <c r="E204" s="4" t="s">
        <v>585</v>
      </c>
    </row>
    <row r="205" spans="1:5" x14ac:dyDescent="0.25">
      <c r="A205" s="4" t="s">
        <v>165</v>
      </c>
      <c r="B205" s="4" t="s">
        <v>586</v>
      </c>
      <c r="C205" s="4" t="s">
        <v>282</v>
      </c>
      <c r="D205" s="19">
        <v>12310</v>
      </c>
      <c r="E205" s="4" t="s">
        <v>587</v>
      </c>
    </row>
    <row r="206" spans="1:5" x14ac:dyDescent="0.25">
      <c r="A206" s="4" t="s">
        <v>165</v>
      </c>
      <c r="B206" s="4" t="s">
        <v>588</v>
      </c>
      <c r="C206" s="4" t="s">
        <v>251</v>
      </c>
      <c r="D206" s="19">
        <v>4118</v>
      </c>
      <c r="E206" s="4" t="s">
        <v>589</v>
      </c>
    </row>
    <row r="207" spans="1:5" x14ac:dyDescent="0.25">
      <c r="A207" s="4" t="s">
        <v>165</v>
      </c>
      <c r="B207" s="4" t="s">
        <v>590</v>
      </c>
      <c r="C207" s="4" t="s">
        <v>251</v>
      </c>
      <c r="D207" s="19">
        <v>4118</v>
      </c>
      <c r="E207" s="4" t="s">
        <v>591</v>
      </c>
    </row>
    <row r="208" spans="1:5" x14ac:dyDescent="0.25">
      <c r="A208" s="4" t="s">
        <v>165</v>
      </c>
      <c r="B208" s="4" t="s">
        <v>592</v>
      </c>
      <c r="C208" s="4" t="s">
        <v>270</v>
      </c>
      <c r="D208" s="19">
        <v>4440</v>
      </c>
      <c r="E208" s="4" t="s">
        <v>593</v>
      </c>
    </row>
    <row r="209" spans="1:5" x14ac:dyDescent="0.25">
      <c r="A209" s="4" t="s">
        <v>165</v>
      </c>
      <c r="B209" s="4" t="s">
        <v>594</v>
      </c>
      <c r="C209" s="4" t="s">
        <v>243</v>
      </c>
      <c r="D209" s="19">
        <v>276</v>
      </c>
      <c r="E209" s="4" t="s">
        <v>595</v>
      </c>
    </row>
    <row r="210" spans="1:5" x14ac:dyDescent="0.25">
      <c r="A210" s="4" t="s">
        <v>165</v>
      </c>
      <c r="B210" s="4" t="s">
        <v>596</v>
      </c>
      <c r="C210" s="4" t="s">
        <v>173</v>
      </c>
      <c r="D210" s="19">
        <v>2595</v>
      </c>
      <c r="E210" s="4" t="s">
        <v>597</v>
      </c>
    </row>
    <row r="211" spans="1:5" x14ac:dyDescent="0.25">
      <c r="A211" s="4" t="s">
        <v>165</v>
      </c>
      <c r="B211" s="4" t="s">
        <v>598</v>
      </c>
      <c r="C211" s="4" t="s">
        <v>248</v>
      </c>
      <c r="D211" s="19">
        <v>5152</v>
      </c>
      <c r="E211" s="4" t="s">
        <v>599</v>
      </c>
    </row>
    <row r="212" spans="1:5" x14ac:dyDescent="0.25">
      <c r="A212" s="4" t="s">
        <v>165</v>
      </c>
      <c r="B212" s="4" t="s">
        <v>600</v>
      </c>
      <c r="C212" s="4" t="s">
        <v>279</v>
      </c>
      <c r="D212" s="19">
        <v>32</v>
      </c>
      <c r="E212" s="4" t="s">
        <v>601</v>
      </c>
    </row>
    <row r="213" spans="1:5" x14ac:dyDescent="0.25">
      <c r="A213" s="4" t="s">
        <v>165</v>
      </c>
      <c r="B213" s="4" t="s">
        <v>602</v>
      </c>
      <c r="C213" s="4" t="s">
        <v>282</v>
      </c>
      <c r="D213" s="19">
        <v>4118</v>
      </c>
      <c r="E213" s="4" t="s">
        <v>603</v>
      </c>
    </row>
    <row r="214" spans="1:5" x14ac:dyDescent="0.25">
      <c r="A214" s="4" t="s">
        <v>165</v>
      </c>
      <c r="B214" s="4" t="s">
        <v>604</v>
      </c>
      <c r="C214" s="4" t="s">
        <v>251</v>
      </c>
      <c r="D214" s="19">
        <v>4118</v>
      </c>
      <c r="E214" s="4" t="s">
        <v>605</v>
      </c>
    </row>
    <row r="215" spans="1:5" x14ac:dyDescent="0.25">
      <c r="A215" s="4" t="s">
        <v>165</v>
      </c>
      <c r="B215" s="4" t="s">
        <v>606</v>
      </c>
      <c r="C215" s="4" t="s">
        <v>243</v>
      </c>
      <c r="D215" s="19">
        <v>116</v>
      </c>
      <c r="E215" s="4" t="s">
        <v>607</v>
      </c>
    </row>
    <row r="216" spans="1:5" x14ac:dyDescent="0.25">
      <c r="A216" s="4" t="s">
        <v>165</v>
      </c>
      <c r="B216" s="4" t="s">
        <v>608</v>
      </c>
      <c r="C216" s="4" t="s">
        <v>173</v>
      </c>
      <c r="D216" s="19">
        <v>8096</v>
      </c>
      <c r="E216" s="4" t="s">
        <v>609</v>
      </c>
    </row>
    <row r="217" spans="1:5" x14ac:dyDescent="0.25">
      <c r="A217" s="4" t="s">
        <v>165</v>
      </c>
      <c r="B217" s="4" t="s">
        <v>610</v>
      </c>
      <c r="C217" s="4" t="s">
        <v>248</v>
      </c>
      <c r="D217" s="19">
        <v>5152</v>
      </c>
      <c r="E217" s="4" t="s">
        <v>611</v>
      </c>
    </row>
    <row r="218" spans="1:5" x14ac:dyDescent="0.25">
      <c r="A218" s="4" t="s">
        <v>165</v>
      </c>
      <c r="B218" s="4" t="s">
        <v>612</v>
      </c>
      <c r="C218" s="4" t="s">
        <v>279</v>
      </c>
      <c r="D218" s="19">
        <v>32</v>
      </c>
      <c r="E218" s="4" t="s">
        <v>613</v>
      </c>
    </row>
    <row r="219" spans="1:5" x14ac:dyDescent="0.25">
      <c r="A219" s="4" t="s">
        <v>165</v>
      </c>
      <c r="B219" s="4" t="s">
        <v>614</v>
      </c>
      <c r="C219" s="4" t="s">
        <v>282</v>
      </c>
      <c r="D219" s="19">
        <v>4118</v>
      </c>
      <c r="E219" s="4" t="s">
        <v>615</v>
      </c>
    </row>
    <row r="220" spans="1:5" x14ac:dyDescent="0.25">
      <c r="A220" s="4" t="s">
        <v>165</v>
      </c>
      <c r="B220" s="4" t="s">
        <v>616</v>
      </c>
      <c r="C220" s="4" t="s">
        <v>243</v>
      </c>
      <c r="D220" s="19">
        <v>116</v>
      </c>
      <c r="E220" s="4" t="s">
        <v>617</v>
      </c>
    </row>
    <row r="221" spans="1:5" x14ac:dyDescent="0.25">
      <c r="A221" s="4" t="s">
        <v>165</v>
      </c>
      <c r="B221" s="4" t="s">
        <v>618</v>
      </c>
      <c r="C221" s="4" t="s">
        <v>173</v>
      </c>
      <c r="D221" s="19">
        <v>868</v>
      </c>
      <c r="E221" s="4" t="s">
        <v>619</v>
      </c>
    </row>
    <row r="222" spans="1:5" x14ac:dyDescent="0.25">
      <c r="A222" s="4" t="s">
        <v>165</v>
      </c>
      <c r="B222" s="4" t="s">
        <v>620</v>
      </c>
      <c r="C222" s="4" t="s">
        <v>248</v>
      </c>
      <c r="D222" s="19">
        <v>5152</v>
      </c>
      <c r="E222" s="4" t="s">
        <v>621</v>
      </c>
    </row>
    <row r="223" spans="1:5" x14ac:dyDescent="0.25">
      <c r="A223" s="4" t="s">
        <v>165</v>
      </c>
      <c r="B223" s="4" t="s">
        <v>622</v>
      </c>
      <c r="C223" s="4" t="s">
        <v>243</v>
      </c>
      <c r="D223" s="19">
        <v>116</v>
      </c>
      <c r="E223" s="4" t="s">
        <v>623</v>
      </c>
    </row>
    <row r="224" spans="1:5" x14ac:dyDescent="0.25">
      <c r="A224" s="4" t="s">
        <v>165</v>
      </c>
      <c r="B224" s="4" t="s">
        <v>624</v>
      </c>
      <c r="C224" s="4" t="s">
        <v>173</v>
      </c>
      <c r="D224" s="19">
        <v>2397</v>
      </c>
      <c r="E224" s="4" t="s">
        <v>625</v>
      </c>
    </row>
    <row r="225" spans="1:5" x14ac:dyDescent="0.25">
      <c r="A225" s="4" t="s">
        <v>165</v>
      </c>
      <c r="B225" s="4" t="s">
        <v>626</v>
      </c>
      <c r="C225" s="4" t="s">
        <v>248</v>
      </c>
      <c r="D225" s="19">
        <v>5152</v>
      </c>
      <c r="E225" s="4" t="s">
        <v>627</v>
      </c>
    </row>
    <row r="226" spans="1:5" x14ac:dyDescent="0.25">
      <c r="A226" s="4" t="s">
        <v>165</v>
      </c>
      <c r="B226" s="4" t="s">
        <v>628</v>
      </c>
      <c r="C226" s="4" t="s">
        <v>279</v>
      </c>
      <c r="D226" s="19">
        <v>32</v>
      </c>
      <c r="E226" s="4" t="s">
        <v>629</v>
      </c>
    </row>
    <row r="227" spans="1:5" x14ac:dyDescent="0.25">
      <c r="A227" s="4" t="s">
        <v>165</v>
      </c>
      <c r="B227" s="4" t="s">
        <v>630</v>
      </c>
      <c r="C227" s="4" t="s">
        <v>282</v>
      </c>
      <c r="D227" s="19">
        <v>4118</v>
      </c>
      <c r="E227" s="4" t="s">
        <v>631</v>
      </c>
    </row>
    <row r="228" spans="1:5" x14ac:dyDescent="0.25">
      <c r="A228" s="4" t="s">
        <v>165</v>
      </c>
      <c r="B228" s="4" t="s">
        <v>632</v>
      </c>
      <c r="C228" s="4" t="s">
        <v>243</v>
      </c>
      <c r="D228" s="19">
        <v>116</v>
      </c>
      <c r="E228" s="4" t="s">
        <v>633</v>
      </c>
    </row>
    <row r="229" spans="1:5" x14ac:dyDescent="0.25">
      <c r="A229" s="4" t="s">
        <v>165</v>
      </c>
      <c r="B229" s="4" t="s">
        <v>634</v>
      </c>
      <c r="C229" s="4" t="s">
        <v>173</v>
      </c>
      <c r="D229" s="19">
        <v>3112</v>
      </c>
      <c r="E229" s="4" t="s">
        <v>635</v>
      </c>
    </row>
    <row r="230" spans="1:5" x14ac:dyDescent="0.25">
      <c r="A230" s="4" t="s">
        <v>165</v>
      </c>
      <c r="B230" s="4" t="s">
        <v>636</v>
      </c>
      <c r="C230" s="4" t="s">
        <v>248</v>
      </c>
      <c r="D230" s="19">
        <v>5152</v>
      </c>
      <c r="E230" s="4" t="s">
        <v>637</v>
      </c>
    </row>
    <row r="231" spans="1:5" x14ac:dyDescent="0.25">
      <c r="A231" s="4" t="s">
        <v>165</v>
      </c>
      <c r="B231" s="4" t="s">
        <v>638</v>
      </c>
      <c r="C231" s="4" t="s">
        <v>279</v>
      </c>
      <c r="D231" s="19">
        <v>32</v>
      </c>
      <c r="E231" s="4" t="s">
        <v>639</v>
      </c>
    </row>
    <row r="232" spans="1:5" x14ac:dyDescent="0.25">
      <c r="A232" s="4" t="s">
        <v>165</v>
      </c>
      <c r="B232" s="4" t="s">
        <v>640</v>
      </c>
      <c r="C232" s="4" t="s">
        <v>282</v>
      </c>
      <c r="D232" s="19">
        <v>4118</v>
      </c>
      <c r="E232" s="4" t="s">
        <v>641</v>
      </c>
    </row>
    <row r="233" spans="1:5" x14ac:dyDescent="0.25">
      <c r="A233" s="4" t="s">
        <v>165</v>
      </c>
      <c r="B233" s="4" t="s">
        <v>642</v>
      </c>
      <c r="C233" s="4" t="s">
        <v>251</v>
      </c>
      <c r="D233" s="19">
        <v>4118</v>
      </c>
      <c r="E233" s="4" t="s">
        <v>643</v>
      </c>
    </row>
    <row r="234" spans="1:5" x14ac:dyDescent="0.25">
      <c r="A234" s="4" t="s">
        <v>165</v>
      </c>
      <c r="B234" s="4" t="s">
        <v>644</v>
      </c>
      <c r="C234" s="4" t="s">
        <v>270</v>
      </c>
      <c r="D234" s="19">
        <v>4440</v>
      </c>
      <c r="E234" s="4" t="s">
        <v>645</v>
      </c>
    </row>
    <row r="235" spans="1:5" x14ac:dyDescent="0.25">
      <c r="A235" s="4" t="s">
        <v>165</v>
      </c>
      <c r="B235" s="4" t="s">
        <v>646</v>
      </c>
      <c r="C235" s="4" t="s">
        <v>243</v>
      </c>
      <c r="D235" s="19">
        <v>276</v>
      </c>
      <c r="E235" s="4" t="s">
        <v>647</v>
      </c>
    </row>
    <row r="236" spans="1:5" x14ac:dyDescent="0.25">
      <c r="A236" s="4" t="s">
        <v>165</v>
      </c>
      <c r="B236" s="4" t="s">
        <v>648</v>
      </c>
      <c r="C236" s="4" t="s">
        <v>173</v>
      </c>
      <c r="D236" s="19">
        <v>12874</v>
      </c>
      <c r="E236" s="4" t="s">
        <v>649</v>
      </c>
    </row>
    <row r="237" spans="1:5" x14ac:dyDescent="0.25">
      <c r="A237" s="4" t="s">
        <v>165</v>
      </c>
      <c r="B237" s="4" t="s">
        <v>650</v>
      </c>
      <c r="C237" s="4" t="s">
        <v>248</v>
      </c>
      <c r="D237" s="19">
        <v>5152</v>
      </c>
      <c r="E237" s="4" t="s">
        <v>651</v>
      </c>
    </row>
    <row r="238" spans="1:5" x14ac:dyDescent="0.25">
      <c r="A238" s="4" t="s">
        <v>165</v>
      </c>
      <c r="B238" s="4" t="s">
        <v>652</v>
      </c>
      <c r="C238" s="4" t="s">
        <v>279</v>
      </c>
      <c r="D238" s="19">
        <v>32</v>
      </c>
      <c r="E238" s="4" t="s">
        <v>653</v>
      </c>
    </row>
    <row r="239" spans="1:5" x14ac:dyDescent="0.25">
      <c r="A239" s="4" t="s">
        <v>165</v>
      </c>
      <c r="B239" s="4" t="s">
        <v>654</v>
      </c>
      <c r="C239" s="4" t="s">
        <v>282</v>
      </c>
      <c r="D239" s="19">
        <v>4118</v>
      </c>
      <c r="E239" s="4" t="s">
        <v>655</v>
      </c>
    </row>
    <row r="240" spans="1:5" x14ac:dyDescent="0.25">
      <c r="A240" s="4" t="s">
        <v>165</v>
      </c>
      <c r="B240" s="4" t="s">
        <v>656</v>
      </c>
      <c r="C240" s="4" t="s">
        <v>251</v>
      </c>
      <c r="D240" s="19">
        <v>4118</v>
      </c>
      <c r="E240" s="4" t="s">
        <v>657</v>
      </c>
    </row>
    <row r="241" spans="1:5" x14ac:dyDescent="0.25">
      <c r="A241" s="4" t="s">
        <v>165</v>
      </c>
      <c r="B241" s="4" t="s">
        <v>658</v>
      </c>
      <c r="C241" s="4" t="s">
        <v>243</v>
      </c>
      <c r="D241" s="19">
        <v>116</v>
      </c>
      <c r="E241" s="4" t="s">
        <v>659</v>
      </c>
    </row>
    <row r="242" spans="1:5" x14ac:dyDescent="0.25">
      <c r="A242" s="4" t="s">
        <v>165</v>
      </c>
      <c r="B242" s="4" t="s">
        <v>660</v>
      </c>
      <c r="C242" s="4" t="s">
        <v>173</v>
      </c>
      <c r="D242" s="19">
        <v>2470</v>
      </c>
      <c r="E242" s="4" t="s">
        <v>661</v>
      </c>
    </row>
    <row r="243" spans="1:5" x14ac:dyDescent="0.25">
      <c r="A243" s="4" t="s">
        <v>165</v>
      </c>
      <c r="B243" s="4" t="s">
        <v>662</v>
      </c>
      <c r="C243" s="4" t="s">
        <v>248</v>
      </c>
      <c r="D243" s="19">
        <v>5152</v>
      </c>
      <c r="E243" s="4" t="s">
        <v>663</v>
      </c>
    </row>
    <row r="244" spans="1:5" x14ac:dyDescent="0.25">
      <c r="A244" s="4" t="s">
        <v>165</v>
      </c>
      <c r="B244" s="4" t="s">
        <v>664</v>
      </c>
      <c r="C244" s="4" t="s">
        <v>279</v>
      </c>
      <c r="D244" s="19">
        <v>32</v>
      </c>
      <c r="E244" s="4" t="s">
        <v>665</v>
      </c>
    </row>
    <row r="245" spans="1:5" x14ac:dyDescent="0.25">
      <c r="A245" s="4" t="s">
        <v>165</v>
      </c>
      <c r="B245" s="4" t="s">
        <v>666</v>
      </c>
      <c r="C245" s="4" t="s">
        <v>282</v>
      </c>
      <c r="D245" s="19">
        <v>4118</v>
      </c>
      <c r="E245" s="4" t="s">
        <v>667</v>
      </c>
    </row>
    <row r="246" spans="1:5" x14ac:dyDescent="0.25">
      <c r="A246" s="4" t="s">
        <v>165</v>
      </c>
      <c r="B246" s="4" t="s">
        <v>668</v>
      </c>
      <c r="C246" s="4" t="s">
        <v>243</v>
      </c>
      <c r="D246" s="19">
        <v>116</v>
      </c>
      <c r="E246" s="4" t="s">
        <v>669</v>
      </c>
    </row>
    <row r="247" spans="1:5" x14ac:dyDescent="0.25">
      <c r="A247" s="4" t="s">
        <v>165</v>
      </c>
      <c r="B247" s="4" t="s">
        <v>670</v>
      </c>
      <c r="C247" s="4" t="s">
        <v>173</v>
      </c>
      <c r="D247" s="19">
        <v>7362</v>
      </c>
      <c r="E247" s="4" t="s">
        <v>671</v>
      </c>
    </row>
    <row r="248" spans="1:5" x14ac:dyDescent="0.25">
      <c r="A248" s="4" t="s">
        <v>165</v>
      </c>
      <c r="B248" s="4" t="s">
        <v>672</v>
      </c>
      <c r="C248" s="4" t="s">
        <v>248</v>
      </c>
      <c r="D248" s="19">
        <v>5152</v>
      </c>
      <c r="E248" s="4" t="s">
        <v>673</v>
      </c>
    </row>
    <row r="249" spans="1:5" x14ac:dyDescent="0.25">
      <c r="A249" s="4" t="s">
        <v>165</v>
      </c>
      <c r="B249" s="4" t="s">
        <v>674</v>
      </c>
      <c r="C249" s="4" t="s">
        <v>279</v>
      </c>
      <c r="D249" s="19">
        <v>32</v>
      </c>
      <c r="E249" s="4" t="s">
        <v>675</v>
      </c>
    </row>
    <row r="250" spans="1:5" x14ac:dyDescent="0.25">
      <c r="A250" s="4" t="s">
        <v>165</v>
      </c>
      <c r="B250" s="4" t="s">
        <v>676</v>
      </c>
      <c r="C250" s="4" t="s">
        <v>282</v>
      </c>
      <c r="D250" s="19">
        <v>4118</v>
      </c>
      <c r="E250" s="4" t="s">
        <v>677</v>
      </c>
    </row>
    <row r="251" spans="1:5" x14ac:dyDescent="0.25">
      <c r="A251" s="4" t="s">
        <v>165</v>
      </c>
      <c r="B251" s="4" t="s">
        <v>678</v>
      </c>
      <c r="C251" s="4" t="s">
        <v>251</v>
      </c>
      <c r="D251" s="19">
        <v>4118</v>
      </c>
      <c r="E251" s="4" t="s">
        <v>679</v>
      </c>
    </row>
    <row r="252" spans="1:5" x14ac:dyDescent="0.25">
      <c r="A252" s="4" t="s">
        <v>165</v>
      </c>
      <c r="B252" s="4" t="s">
        <v>680</v>
      </c>
      <c r="C252" s="4" t="s">
        <v>270</v>
      </c>
      <c r="D252" s="19">
        <v>4440</v>
      </c>
      <c r="E252" s="4" t="s">
        <v>681</v>
      </c>
    </row>
    <row r="253" spans="1:5" x14ac:dyDescent="0.25">
      <c r="A253" s="4" t="s">
        <v>165</v>
      </c>
      <c r="B253" s="4" t="s">
        <v>682</v>
      </c>
      <c r="C253" s="4" t="s">
        <v>243</v>
      </c>
      <c r="D253" s="19">
        <v>276</v>
      </c>
      <c r="E253" s="4" t="s">
        <v>683</v>
      </c>
    </row>
    <row r="254" spans="1:5" x14ac:dyDescent="0.25">
      <c r="A254" s="4" t="s">
        <v>165</v>
      </c>
      <c r="B254" s="4" t="s">
        <v>684</v>
      </c>
      <c r="C254" s="4" t="s">
        <v>173</v>
      </c>
      <c r="D254" s="19">
        <v>150157</v>
      </c>
      <c r="E254" s="4" t="s">
        <v>685</v>
      </c>
    </row>
    <row r="255" spans="1:5" x14ac:dyDescent="0.25">
      <c r="A255" s="4" t="s">
        <v>165</v>
      </c>
      <c r="B255" s="4" t="s">
        <v>686</v>
      </c>
      <c r="C255" s="4" t="s">
        <v>248</v>
      </c>
      <c r="D255" s="19">
        <v>5152</v>
      </c>
      <c r="E255" s="4" t="s">
        <v>687</v>
      </c>
    </row>
    <row r="256" spans="1:5" x14ac:dyDescent="0.25">
      <c r="A256" s="4" t="s">
        <v>165</v>
      </c>
      <c r="B256" s="4" t="s">
        <v>688</v>
      </c>
      <c r="C256" s="4" t="s">
        <v>279</v>
      </c>
      <c r="D256" s="19">
        <v>32</v>
      </c>
      <c r="E256" s="4" t="s">
        <v>689</v>
      </c>
    </row>
    <row r="257" spans="1:5" x14ac:dyDescent="0.25">
      <c r="A257" s="4" t="s">
        <v>165</v>
      </c>
      <c r="B257" s="4" t="s">
        <v>690</v>
      </c>
      <c r="C257" s="4" t="s">
        <v>282</v>
      </c>
      <c r="D257" s="19">
        <v>12310</v>
      </c>
      <c r="E257" s="4" t="s">
        <v>691</v>
      </c>
    </row>
    <row r="258" spans="1:5" x14ac:dyDescent="0.25">
      <c r="A258" s="4" t="s">
        <v>165</v>
      </c>
      <c r="B258" s="4" t="s">
        <v>692</v>
      </c>
      <c r="C258" s="4" t="s">
        <v>251</v>
      </c>
      <c r="D258" s="19">
        <v>4118</v>
      </c>
      <c r="E258" s="4" t="s">
        <v>693</v>
      </c>
    </row>
    <row r="259" spans="1:5" x14ac:dyDescent="0.25">
      <c r="A259" s="4" t="s">
        <v>165</v>
      </c>
      <c r="B259" s="4" t="s">
        <v>694</v>
      </c>
      <c r="C259" s="4" t="s">
        <v>243</v>
      </c>
      <c r="D259" s="19">
        <v>116</v>
      </c>
      <c r="E259" s="4" t="s">
        <v>695</v>
      </c>
    </row>
    <row r="260" spans="1:5" x14ac:dyDescent="0.25">
      <c r="A260" s="4" t="s">
        <v>165</v>
      </c>
      <c r="B260" s="4" t="s">
        <v>696</v>
      </c>
      <c r="C260" s="4" t="s">
        <v>173</v>
      </c>
      <c r="D260" s="19">
        <v>16096</v>
      </c>
      <c r="E260" s="4" t="s">
        <v>697</v>
      </c>
    </row>
    <row r="261" spans="1:5" x14ac:dyDescent="0.25">
      <c r="A261" s="4" t="s">
        <v>165</v>
      </c>
      <c r="B261" s="4" t="s">
        <v>698</v>
      </c>
      <c r="C261" s="4" t="s">
        <v>248</v>
      </c>
      <c r="D261" s="19">
        <v>5152</v>
      </c>
      <c r="E261" s="4" t="s">
        <v>699</v>
      </c>
    </row>
    <row r="262" spans="1:5" x14ac:dyDescent="0.25">
      <c r="A262" s="4" t="s">
        <v>165</v>
      </c>
      <c r="B262" s="4" t="s">
        <v>700</v>
      </c>
      <c r="C262" s="4" t="s">
        <v>279</v>
      </c>
      <c r="D262" s="19">
        <v>32</v>
      </c>
      <c r="E262" s="4" t="s">
        <v>701</v>
      </c>
    </row>
    <row r="263" spans="1:5" x14ac:dyDescent="0.25">
      <c r="A263" s="4" t="s">
        <v>165</v>
      </c>
      <c r="B263" s="4" t="s">
        <v>702</v>
      </c>
      <c r="C263" s="4" t="s">
        <v>282</v>
      </c>
      <c r="D263" s="19">
        <v>4118</v>
      </c>
      <c r="E263" s="4" t="s">
        <v>703</v>
      </c>
    </row>
    <row r="264" spans="1:5" x14ac:dyDescent="0.25">
      <c r="A264" s="4" t="s">
        <v>165</v>
      </c>
      <c r="B264" s="4" t="s">
        <v>704</v>
      </c>
      <c r="C264" s="4" t="s">
        <v>243</v>
      </c>
      <c r="D264" s="19">
        <v>116</v>
      </c>
      <c r="E264" s="4" t="s">
        <v>705</v>
      </c>
    </row>
    <row r="265" spans="1:5" x14ac:dyDescent="0.25">
      <c r="A265" s="4" t="s">
        <v>165</v>
      </c>
      <c r="B265" s="4" t="s">
        <v>706</v>
      </c>
      <c r="C265" s="4" t="s">
        <v>173</v>
      </c>
      <c r="D265" s="19">
        <v>960</v>
      </c>
      <c r="E265" s="4" t="s">
        <v>707</v>
      </c>
    </row>
    <row r="266" spans="1:5" x14ac:dyDescent="0.25">
      <c r="A266" s="4" t="s">
        <v>165</v>
      </c>
      <c r="B266" s="4" t="s">
        <v>708</v>
      </c>
      <c r="C266" s="4" t="s">
        <v>248</v>
      </c>
      <c r="D266" s="19">
        <v>5152</v>
      </c>
      <c r="E266" s="4" t="s">
        <v>709</v>
      </c>
    </row>
    <row r="267" spans="1:5" x14ac:dyDescent="0.25">
      <c r="A267" s="4" t="s">
        <v>165</v>
      </c>
      <c r="B267" s="4" t="s">
        <v>710</v>
      </c>
      <c r="C267" s="4" t="s">
        <v>279</v>
      </c>
      <c r="D267" s="19">
        <v>32</v>
      </c>
      <c r="E267" s="4" t="s">
        <v>711</v>
      </c>
    </row>
    <row r="268" spans="1:5" x14ac:dyDescent="0.25">
      <c r="A268" s="4" t="s">
        <v>165</v>
      </c>
      <c r="B268" s="4" t="s">
        <v>712</v>
      </c>
      <c r="C268" s="4" t="s">
        <v>282</v>
      </c>
      <c r="D268" s="19">
        <v>4118</v>
      </c>
      <c r="E268" s="4" t="s">
        <v>713</v>
      </c>
    </row>
    <row r="269" spans="1:5" x14ac:dyDescent="0.25">
      <c r="A269" s="4" t="s">
        <v>165</v>
      </c>
      <c r="B269" s="4" t="s">
        <v>714</v>
      </c>
      <c r="C269" s="4" t="s">
        <v>251</v>
      </c>
      <c r="D269" s="19">
        <v>4118</v>
      </c>
      <c r="E269" s="4" t="s">
        <v>715</v>
      </c>
    </row>
    <row r="270" spans="1:5" x14ac:dyDescent="0.25">
      <c r="A270" s="4" t="s">
        <v>165</v>
      </c>
      <c r="B270" s="4" t="s">
        <v>716</v>
      </c>
      <c r="C270" s="4" t="s">
        <v>270</v>
      </c>
      <c r="D270" s="19">
        <v>4440</v>
      </c>
      <c r="E270" s="4" t="s">
        <v>717</v>
      </c>
    </row>
    <row r="271" spans="1:5" x14ac:dyDescent="0.25">
      <c r="A271" s="4" t="s">
        <v>165</v>
      </c>
      <c r="B271" s="4" t="s">
        <v>718</v>
      </c>
      <c r="C271" s="4" t="s">
        <v>243</v>
      </c>
      <c r="D271" s="19">
        <v>276</v>
      </c>
      <c r="E271" s="4" t="s">
        <v>719</v>
      </c>
    </row>
    <row r="272" spans="1:5" x14ac:dyDescent="0.25">
      <c r="A272" s="4" t="s">
        <v>165</v>
      </c>
      <c r="B272" s="4" t="s">
        <v>720</v>
      </c>
      <c r="C272" s="4" t="s">
        <v>173</v>
      </c>
      <c r="D272" s="19">
        <v>3414</v>
      </c>
      <c r="E272" s="4" t="s">
        <v>721</v>
      </c>
    </row>
    <row r="273" spans="1:5" x14ac:dyDescent="0.25">
      <c r="A273" s="4" t="s">
        <v>165</v>
      </c>
      <c r="B273" s="4" t="s">
        <v>722</v>
      </c>
      <c r="C273" s="4" t="s">
        <v>248</v>
      </c>
      <c r="D273" s="19">
        <v>5152</v>
      </c>
      <c r="E273" s="4" t="s">
        <v>723</v>
      </c>
    </row>
    <row r="274" spans="1:5" x14ac:dyDescent="0.25">
      <c r="A274" s="4" t="s">
        <v>165</v>
      </c>
      <c r="B274" s="4" t="s">
        <v>724</v>
      </c>
      <c r="C274" s="4" t="s">
        <v>279</v>
      </c>
      <c r="D274" s="19">
        <v>32</v>
      </c>
      <c r="E274" s="4" t="s">
        <v>725</v>
      </c>
    </row>
    <row r="275" spans="1:5" x14ac:dyDescent="0.25">
      <c r="A275" s="4" t="s">
        <v>165</v>
      </c>
      <c r="B275" s="4" t="s">
        <v>726</v>
      </c>
      <c r="C275" s="4" t="s">
        <v>282</v>
      </c>
      <c r="D275" s="19">
        <v>4118</v>
      </c>
      <c r="E275" s="4" t="s">
        <v>727</v>
      </c>
    </row>
    <row r="276" spans="1:5" x14ac:dyDescent="0.25">
      <c r="A276" s="4" t="s">
        <v>165</v>
      </c>
      <c r="B276" s="4" t="s">
        <v>728</v>
      </c>
      <c r="C276" s="4" t="s">
        <v>251</v>
      </c>
      <c r="D276" s="19">
        <v>4118</v>
      </c>
      <c r="E276" s="4" t="s">
        <v>729</v>
      </c>
    </row>
    <row r="277" spans="1:5" x14ac:dyDescent="0.25">
      <c r="A277" s="4" t="s">
        <v>165</v>
      </c>
      <c r="B277" s="4" t="s">
        <v>730</v>
      </c>
      <c r="C277" s="4" t="s">
        <v>251</v>
      </c>
      <c r="D277" s="19">
        <v>20502</v>
      </c>
      <c r="E277" s="4" t="s">
        <v>731</v>
      </c>
    </row>
    <row r="278" spans="1:5" x14ac:dyDescent="0.25">
      <c r="A278" s="4" t="s">
        <v>165</v>
      </c>
      <c r="B278" s="4" t="s">
        <v>732</v>
      </c>
      <c r="C278" s="4" t="s">
        <v>270</v>
      </c>
      <c r="D278" s="19">
        <v>4440</v>
      </c>
      <c r="E278" s="4" t="s">
        <v>733</v>
      </c>
    </row>
    <row r="279" spans="1:5" x14ac:dyDescent="0.25">
      <c r="A279" s="4" t="s">
        <v>165</v>
      </c>
      <c r="B279" s="4" t="s">
        <v>734</v>
      </c>
      <c r="C279" s="4" t="s">
        <v>243</v>
      </c>
      <c r="D279" s="19">
        <v>276</v>
      </c>
      <c r="E279" s="4" t="s">
        <v>735</v>
      </c>
    </row>
    <row r="280" spans="1:5" x14ac:dyDescent="0.25">
      <c r="A280" s="4" t="s">
        <v>165</v>
      </c>
      <c r="B280" s="4" t="s">
        <v>736</v>
      </c>
      <c r="C280" s="4" t="s">
        <v>173</v>
      </c>
      <c r="D280" s="19">
        <v>600671</v>
      </c>
      <c r="E280" s="4" t="s">
        <v>737</v>
      </c>
    </row>
    <row r="281" spans="1:5" x14ac:dyDescent="0.25">
      <c r="A281" s="4" t="s">
        <v>165</v>
      </c>
      <c r="B281" s="4" t="s">
        <v>738</v>
      </c>
      <c r="C281" s="4" t="s">
        <v>248</v>
      </c>
      <c r="D281" s="19">
        <v>10272</v>
      </c>
      <c r="E281" s="4" t="s">
        <v>739</v>
      </c>
    </row>
    <row r="282" spans="1:5" x14ac:dyDescent="0.25">
      <c r="A282" s="4" t="s">
        <v>165</v>
      </c>
      <c r="B282" s="4" t="s">
        <v>740</v>
      </c>
      <c r="C282" s="4" t="s">
        <v>279</v>
      </c>
      <c r="D282" s="19">
        <v>32</v>
      </c>
      <c r="E282" s="4" t="s">
        <v>741</v>
      </c>
    </row>
    <row r="283" spans="1:5" x14ac:dyDescent="0.25">
      <c r="A283" s="4" t="s">
        <v>165</v>
      </c>
      <c r="B283" s="4" t="s">
        <v>742</v>
      </c>
      <c r="C283" s="4" t="s">
        <v>282</v>
      </c>
      <c r="D283" s="19">
        <v>53270</v>
      </c>
      <c r="E283" s="4" t="s">
        <v>743</v>
      </c>
    </row>
    <row r="284" spans="1:5" x14ac:dyDescent="0.25">
      <c r="A284" s="4" t="s">
        <v>165</v>
      </c>
      <c r="B284" s="4" t="s">
        <v>744</v>
      </c>
      <c r="C284" s="4" t="s">
        <v>251</v>
      </c>
      <c r="D284" s="19">
        <v>16406</v>
      </c>
      <c r="E284" s="4" t="s">
        <v>745</v>
      </c>
    </row>
    <row r="285" spans="1:5" x14ac:dyDescent="0.25">
      <c r="A285" s="4" t="s">
        <v>165</v>
      </c>
      <c r="B285" s="4" t="s">
        <v>746</v>
      </c>
      <c r="C285" s="4" t="s">
        <v>243</v>
      </c>
      <c r="D285" s="19">
        <v>116</v>
      </c>
      <c r="E285" s="4" t="s">
        <v>747</v>
      </c>
    </row>
    <row r="286" spans="1:5" x14ac:dyDescent="0.25">
      <c r="A286" s="4" t="s">
        <v>165</v>
      </c>
      <c r="B286" s="4" t="s">
        <v>748</v>
      </c>
      <c r="C286" s="4" t="s">
        <v>173</v>
      </c>
      <c r="D286" s="19">
        <v>406017</v>
      </c>
      <c r="E286" s="4" t="s">
        <v>749</v>
      </c>
    </row>
    <row r="287" spans="1:5" x14ac:dyDescent="0.25">
      <c r="A287" s="4" t="s">
        <v>165</v>
      </c>
      <c r="B287" s="4" t="s">
        <v>750</v>
      </c>
      <c r="C287" s="4" t="s">
        <v>248</v>
      </c>
      <c r="D287" s="19">
        <v>51232</v>
      </c>
      <c r="E287" s="4" t="s">
        <v>751</v>
      </c>
    </row>
    <row r="288" spans="1:5" x14ac:dyDescent="0.25">
      <c r="A288" s="4" t="s">
        <v>165</v>
      </c>
      <c r="B288" s="4" t="s">
        <v>752</v>
      </c>
      <c r="C288" s="4" t="s">
        <v>279</v>
      </c>
      <c r="D288" s="19">
        <v>32</v>
      </c>
      <c r="E288" s="4" t="s">
        <v>753</v>
      </c>
    </row>
    <row r="289" spans="1:5" x14ac:dyDescent="0.25">
      <c r="A289" s="4" t="s">
        <v>165</v>
      </c>
      <c r="B289" s="4" t="s">
        <v>754</v>
      </c>
      <c r="C289" s="4" t="s">
        <v>282</v>
      </c>
      <c r="D289" s="19">
        <v>122902</v>
      </c>
      <c r="E289" s="4" t="s">
        <v>755</v>
      </c>
    </row>
    <row r="290" spans="1:5" x14ac:dyDescent="0.25">
      <c r="A290" s="4" t="s">
        <v>165</v>
      </c>
      <c r="B290" s="4" t="s">
        <v>756</v>
      </c>
      <c r="C290" s="4" t="s">
        <v>243</v>
      </c>
      <c r="D290" s="19">
        <v>116</v>
      </c>
      <c r="E290" s="4" t="s">
        <v>757</v>
      </c>
    </row>
    <row r="291" spans="1:5" x14ac:dyDescent="0.25">
      <c r="A291" s="4" t="s">
        <v>165</v>
      </c>
      <c r="B291" s="4" t="s">
        <v>758</v>
      </c>
      <c r="C291" s="4" t="s">
        <v>173</v>
      </c>
      <c r="D291" s="19">
        <v>2175</v>
      </c>
      <c r="E291" s="4" t="s">
        <v>759</v>
      </c>
    </row>
    <row r="292" spans="1:5" x14ac:dyDescent="0.25">
      <c r="A292" s="4" t="s">
        <v>165</v>
      </c>
      <c r="B292" s="4" t="s">
        <v>760</v>
      </c>
      <c r="C292" s="4" t="s">
        <v>248</v>
      </c>
      <c r="D292" s="19">
        <v>5152</v>
      </c>
      <c r="E292" s="4" t="s">
        <v>761</v>
      </c>
    </row>
    <row r="293" spans="1:5" x14ac:dyDescent="0.25">
      <c r="A293" s="4" t="s">
        <v>165</v>
      </c>
      <c r="B293" s="4" t="s">
        <v>762</v>
      </c>
      <c r="C293" s="4" t="s">
        <v>279</v>
      </c>
      <c r="D293" s="19">
        <v>32</v>
      </c>
      <c r="E293" s="4" t="s">
        <v>763</v>
      </c>
    </row>
    <row r="294" spans="1:5" x14ac:dyDescent="0.25">
      <c r="A294" s="4" t="s">
        <v>165</v>
      </c>
      <c r="B294" s="4" t="s">
        <v>764</v>
      </c>
      <c r="C294" s="4" t="s">
        <v>282</v>
      </c>
      <c r="D294" s="19">
        <v>4118</v>
      </c>
      <c r="E294" s="4" t="s">
        <v>765</v>
      </c>
    </row>
    <row r="295" spans="1:5" x14ac:dyDescent="0.25">
      <c r="A295" s="4" t="s">
        <v>165</v>
      </c>
      <c r="B295" s="4" t="s">
        <v>766</v>
      </c>
      <c r="C295" s="4" t="s">
        <v>243</v>
      </c>
      <c r="D295" s="19">
        <v>116</v>
      </c>
      <c r="E295" s="4" t="s">
        <v>767</v>
      </c>
    </row>
    <row r="296" spans="1:5" x14ac:dyDescent="0.25">
      <c r="A296" s="4" t="s">
        <v>165</v>
      </c>
      <c r="B296" s="4" t="s">
        <v>768</v>
      </c>
      <c r="C296" s="4" t="s">
        <v>173</v>
      </c>
      <c r="D296" s="19">
        <v>370906</v>
      </c>
      <c r="E296" s="4" t="s">
        <v>769</v>
      </c>
    </row>
    <row r="297" spans="1:5" x14ac:dyDescent="0.25">
      <c r="A297" s="4" t="s">
        <v>165</v>
      </c>
      <c r="B297" s="4" t="s">
        <v>770</v>
      </c>
      <c r="C297" s="4" t="s">
        <v>248</v>
      </c>
      <c r="D297" s="19">
        <v>20512</v>
      </c>
      <c r="E297" s="4" t="s">
        <v>771</v>
      </c>
    </row>
    <row r="298" spans="1:5" x14ac:dyDescent="0.25">
      <c r="A298" s="4" t="s">
        <v>165</v>
      </c>
      <c r="B298" s="4" t="s">
        <v>772</v>
      </c>
      <c r="C298" s="4" t="s">
        <v>279</v>
      </c>
      <c r="D298" s="19">
        <v>32</v>
      </c>
      <c r="E298" s="4" t="s">
        <v>773</v>
      </c>
    </row>
    <row r="299" spans="1:5" x14ac:dyDescent="0.25">
      <c r="A299" s="4" t="s">
        <v>165</v>
      </c>
      <c r="B299" s="4" t="s">
        <v>774</v>
      </c>
      <c r="C299" s="4" t="s">
        <v>282</v>
      </c>
      <c r="D299" s="19">
        <v>81942</v>
      </c>
      <c r="E299" s="4" t="s">
        <v>775</v>
      </c>
    </row>
    <row r="300" spans="1:5" x14ac:dyDescent="0.25">
      <c r="A300" s="4" t="s">
        <v>165</v>
      </c>
      <c r="B300" s="4" t="s">
        <v>776</v>
      </c>
      <c r="C300" s="4" t="s">
        <v>243</v>
      </c>
      <c r="D300" s="19">
        <v>116</v>
      </c>
      <c r="E300" s="4" t="s">
        <v>777</v>
      </c>
    </row>
    <row r="301" spans="1:5" x14ac:dyDescent="0.25">
      <c r="A301" s="4" t="s">
        <v>165</v>
      </c>
      <c r="B301" s="4" t="s">
        <v>778</v>
      </c>
      <c r="C301" s="4" t="s">
        <v>173</v>
      </c>
      <c r="D301" s="19">
        <v>9099882</v>
      </c>
      <c r="E301" s="4" t="s">
        <v>779</v>
      </c>
    </row>
    <row r="302" spans="1:5" x14ac:dyDescent="0.25">
      <c r="A302" s="4" t="s">
        <v>165</v>
      </c>
      <c r="B302" s="4" t="s">
        <v>780</v>
      </c>
      <c r="C302" s="4" t="s">
        <v>248</v>
      </c>
      <c r="D302" s="19">
        <v>10272</v>
      </c>
      <c r="E302" s="4" t="s">
        <v>781</v>
      </c>
    </row>
    <row r="303" spans="1:5" x14ac:dyDescent="0.25">
      <c r="A303" s="4" t="s">
        <v>165</v>
      </c>
      <c r="B303" s="4" t="s">
        <v>782</v>
      </c>
      <c r="C303" s="4" t="s">
        <v>279</v>
      </c>
      <c r="D303" s="19">
        <v>32</v>
      </c>
      <c r="E303" s="4" t="s">
        <v>783</v>
      </c>
    </row>
    <row r="304" spans="1:5" x14ac:dyDescent="0.25">
      <c r="A304" s="4" t="s">
        <v>165</v>
      </c>
      <c r="B304" s="4" t="s">
        <v>784</v>
      </c>
      <c r="C304" s="4" t="s">
        <v>282</v>
      </c>
      <c r="D304" s="19">
        <v>28694</v>
      </c>
      <c r="E304" s="4" t="s">
        <v>785</v>
      </c>
    </row>
    <row r="305" spans="1:5" x14ac:dyDescent="0.25">
      <c r="A305" s="4" t="s">
        <v>165</v>
      </c>
      <c r="B305" s="4" t="s">
        <v>786</v>
      </c>
      <c r="C305" s="4" t="s">
        <v>202</v>
      </c>
      <c r="D305" s="19">
        <v>4</v>
      </c>
      <c r="E305" s="4" t="s">
        <v>787</v>
      </c>
    </row>
    <row r="306" spans="1:5" x14ac:dyDescent="0.25">
      <c r="A306" s="4" t="s">
        <v>165</v>
      </c>
      <c r="B306" s="4" t="s">
        <v>788</v>
      </c>
      <c r="C306" s="4" t="s">
        <v>202</v>
      </c>
      <c r="D306" s="19">
        <v>400</v>
      </c>
      <c r="E306" s="4" t="s">
        <v>789</v>
      </c>
    </row>
    <row r="307" spans="1:5" x14ac:dyDescent="0.25">
      <c r="A307" s="4" t="s">
        <v>165</v>
      </c>
      <c r="B307" s="4" t="s">
        <v>790</v>
      </c>
      <c r="C307" s="4" t="s">
        <v>270</v>
      </c>
      <c r="D307" s="19">
        <v>12632</v>
      </c>
      <c r="E307" s="4" t="s">
        <v>791</v>
      </c>
    </row>
    <row r="308" spans="1:5" x14ac:dyDescent="0.25">
      <c r="A308" s="4" t="s">
        <v>165</v>
      </c>
      <c r="B308" s="4" t="s">
        <v>242</v>
      </c>
      <c r="C308" s="4" t="s">
        <v>243</v>
      </c>
      <c r="D308" s="19">
        <v>110</v>
      </c>
      <c r="E308" s="4" t="s">
        <v>792</v>
      </c>
    </row>
    <row r="309" spans="1:5" x14ac:dyDescent="0.25">
      <c r="A309" s="4" t="s">
        <v>165</v>
      </c>
      <c r="B309" s="4" t="s">
        <v>245</v>
      </c>
      <c r="C309" s="4" t="s">
        <v>173</v>
      </c>
      <c r="D309" s="19">
        <v>6174</v>
      </c>
      <c r="E309" s="4" t="s">
        <v>793</v>
      </c>
    </row>
    <row r="310" spans="1:5" x14ac:dyDescent="0.25">
      <c r="A310" s="4" t="s">
        <v>165</v>
      </c>
      <c r="B310" s="4" t="s">
        <v>247</v>
      </c>
      <c r="C310" s="4" t="s">
        <v>248</v>
      </c>
      <c r="D310" s="19">
        <v>5152</v>
      </c>
      <c r="E310" s="4" t="s">
        <v>794</v>
      </c>
    </row>
    <row r="311" spans="1:5" x14ac:dyDescent="0.25">
      <c r="A311" s="4" t="s">
        <v>165</v>
      </c>
      <c r="B311" s="4" t="s">
        <v>250</v>
      </c>
      <c r="C311" s="4" t="s">
        <v>251</v>
      </c>
      <c r="D311" s="19">
        <v>49174</v>
      </c>
      <c r="E311" s="4" t="s">
        <v>795</v>
      </c>
    </row>
    <row r="312" spans="1:5" x14ac:dyDescent="0.25">
      <c r="A312" s="4" t="s">
        <v>165</v>
      </c>
      <c r="B312" s="4" t="s">
        <v>253</v>
      </c>
      <c r="C312" s="4" t="s">
        <v>173</v>
      </c>
      <c r="D312" s="19">
        <v>2055</v>
      </c>
      <c r="E312" s="4" t="s">
        <v>796</v>
      </c>
    </row>
    <row r="313" spans="1:5" x14ac:dyDescent="0.25">
      <c r="A313" s="4" t="s">
        <v>165</v>
      </c>
      <c r="B313" s="4" t="s">
        <v>255</v>
      </c>
      <c r="C313" s="4" t="s">
        <v>248</v>
      </c>
      <c r="D313" s="19">
        <v>5152</v>
      </c>
      <c r="E313" s="4" t="s">
        <v>797</v>
      </c>
    </row>
    <row r="314" spans="1:5" x14ac:dyDescent="0.25">
      <c r="A314" s="4" t="s">
        <v>165</v>
      </c>
      <c r="B314" s="4" t="s">
        <v>257</v>
      </c>
      <c r="C314" s="4" t="s">
        <v>243</v>
      </c>
      <c r="D314" s="19">
        <v>42</v>
      </c>
      <c r="E314" s="4" t="s">
        <v>798</v>
      </c>
    </row>
    <row r="315" spans="1:5" x14ac:dyDescent="0.25">
      <c r="A315" s="4" t="s">
        <v>165</v>
      </c>
      <c r="B315" s="4" t="s">
        <v>259</v>
      </c>
      <c r="C315" s="4" t="s">
        <v>173</v>
      </c>
      <c r="D315" s="19">
        <v>1428</v>
      </c>
      <c r="E315" s="4" t="s">
        <v>799</v>
      </c>
    </row>
    <row r="316" spans="1:5" x14ac:dyDescent="0.25">
      <c r="A316" s="4" t="s">
        <v>165</v>
      </c>
      <c r="B316" s="4" t="s">
        <v>261</v>
      </c>
      <c r="C316" s="4" t="s">
        <v>248</v>
      </c>
      <c r="D316" s="19">
        <v>5152</v>
      </c>
      <c r="E316" s="4" t="s">
        <v>800</v>
      </c>
    </row>
    <row r="317" spans="1:5" x14ac:dyDescent="0.25">
      <c r="A317" s="4" t="s">
        <v>165</v>
      </c>
      <c r="B317" s="4" t="s">
        <v>263</v>
      </c>
      <c r="C317" s="4" t="s">
        <v>251</v>
      </c>
      <c r="D317" s="19">
        <v>53270</v>
      </c>
      <c r="E317" s="4" t="s">
        <v>801</v>
      </c>
    </row>
    <row r="318" spans="1:5" x14ac:dyDescent="0.25">
      <c r="A318" s="4" t="s">
        <v>165</v>
      </c>
      <c r="B318" s="4" t="s">
        <v>265</v>
      </c>
      <c r="C318" s="4" t="s">
        <v>251</v>
      </c>
      <c r="D318" s="19">
        <v>20502</v>
      </c>
      <c r="E318" s="4" t="s">
        <v>802</v>
      </c>
    </row>
    <row r="319" spans="1:5" x14ac:dyDescent="0.25">
      <c r="A319" s="4" t="s">
        <v>165</v>
      </c>
      <c r="B319" s="4" t="s">
        <v>267</v>
      </c>
      <c r="C319" s="4" t="s">
        <v>251</v>
      </c>
      <c r="D319" s="19">
        <v>16406</v>
      </c>
      <c r="E319" s="4" t="s">
        <v>803</v>
      </c>
    </row>
    <row r="320" spans="1:5" x14ac:dyDescent="0.25">
      <c r="A320" s="4" t="s">
        <v>165</v>
      </c>
      <c r="B320" s="4" t="s">
        <v>269</v>
      </c>
      <c r="C320" s="4" t="s">
        <v>270</v>
      </c>
      <c r="D320" s="19">
        <v>86360</v>
      </c>
      <c r="E320" s="4" t="s">
        <v>804</v>
      </c>
    </row>
    <row r="321" spans="1:5" x14ac:dyDescent="0.25">
      <c r="A321" s="4" t="s">
        <v>165</v>
      </c>
      <c r="B321" s="4" t="s">
        <v>272</v>
      </c>
      <c r="C321" s="4" t="s">
        <v>243</v>
      </c>
      <c r="D321" s="19">
        <v>310</v>
      </c>
      <c r="E321" s="4" t="s">
        <v>805</v>
      </c>
    </row>
    <row r="322" spans="1:5" x14ac:dyDescent="0.25">
      <c r="A322" s="4" t="s">
        <v>165</v>
      </c>
      <c r="B322" s="4" t="s">
        <v>274</v>
      </c>
      <c r="C322" s="4" t="s">
        <v>173</v>
      </c>
      <c r="D322" s="19">
        <v>10678033</v>
      </c>
      <c r="E322" s="4" t="s">
        <v>806</v>
      </c>
    </row>
    <row r="323" spans="1:5" x14ac:dyDescent="0.25">
      <c r="A323" s="4" t="s">
        <v>165</v>
      </c>
      <c r="B323" s="4" t="s">
        <v>276</v>
      </c>
      <c r="C323" s="4" t="s">
        <v>248</v>
      </c>
      <c r="D323" s="19">
        <v>5152</v>
      </c>
      <c r="E323" s="4" t="s">
        <v>807</v>
      </c>
    </row>
    <row r="324" spans="1:5" x14ac:dyDescent="0.25">
      <c r="A324" s="4" t="s">
        <v>165</v>
      </c>
      <c r="B324" s="4" t="s">
        <v>278</v>
      </c>
      <c r="C324" s="4" t="s">
        <v>279</v>
      </c>
      <c r="D324" s="19">
        <v>32</v>
      </c>
      <c r="E324" s="4" t="s">
        <v>808</v>
      </c>
    </row>
    <row r="325" spans="1:5" x14ac:dyDescent="0.25">
      <c r="A325" s="4" t="s">
        <v>165</v>
      </c>
      <c r="B325" s="4" t="s">
        <v>281</v>
      </c>
      <c r="C325" s="4" t="s">
        <v>282</v>
      </c>
      <c r="D325" s="19">
        <v>188438</v>
      </c>
      <c r="E325" s="4" t="s">
        <v>809</v>
      </c>
    </row>
    <row r="326" spans="1:5" x14ac:dyDescent="0.25">
      <c r="A326" s="4" t="s">
        <v>165</v>
      </c>
      <c r="B326" s="4" t="s">
        <v>284</v>
      </c>
      <c r="C326" s="4" t="s">
        <v>251</v>
      </c>
      <c r="D326" s="19">
        <v>12310</v>
      </c>
      <c r="E326" s="4" t="s">
        <v>810</v>
      </c>
    </row>
    <row r="327" spans="1:5" x14ac:dyDescent="0.25">
      <c r="A327" s="4" t="s">
        <v>165</v>
      </c>
      <c r="B327" s="4" t="s">
        <v>286</v>
      </c>
      <c r="C327" s="4" t="s">
        <v>251</v>
      </c>
      <c r="D327" s="19">
        <v>4118</v>
      </c>
      <c r="E327" s="4" t="s">
        <v>811</v>
      </c>
    </row>
    <row r="328" spans="1:5" x14ac:dyDescent="0.25">
      <c r="A328" s="4" t="s">
        <v>165</v>
      </c>
      <c r="B328" s="4" t="s">
        <v>288</v>
      </c>
      <c r="C328" s="4" t="s">
        <v>251</v>
      </c>
      <c r="D328" s="19">
        <v>4118</v>
      </c>
      <c r="E328" s="4" t="s">
        <v>812</v>
      </c>
    </row>
    <row r="329" spans="1:5" x14ac:dyDescent="0.25">
      <c r="A329" s="4" t="s">
        <v>165</v>
      </c>
      <c r="B329" s="4" t="s">
        <v>290</v>
      </c>
      <c r="C329" s="4" t="s">
        <v>243</v>
      </c>
      <c r="D329" s="19">
        <v>296</v>
      </c>
      <c r="E329" s="4" t="s">
        <v>813</v>
      </c>
    </row>
    <row r="330" spans="1:5" x14ac:dyDescent="0.25">
      <c r="A330" s="4" t="s">
        <v>165</v>
      </c>
      <c r="B330" s="4" t="s">
        <v>292</v>
      </c>
      <c r="C330" s="4" t="s">
        <v>173</v>
      </c>
      <c r="D330" s="19">
        <v>2071</v>
      </c>
      <c r="E330" s="4" t="s">
        <v>814</v>
      </c>
    </row>
    <row r="331" spans="1:5" x14ac:dyDescent="0.25">
      <c r="A331" s="4" t="s">
        <v>165</v>
      </c>
      <c r="B331" s="4" t="s">
        <v>294</v>
      </c>
      <c r="C331" s="4" t="s">
        <v>248</v>
      </c>
      <c r="D331" s="19">
        <v>5152</v>
      </c>
      <c r="E331" s="4" t="s">
        <v>815</v>
      </c>
    </row>
    <row r="332" spans="1:5" x14ac:dyDescent="0.25">
      <c r="A332" s="4" t="s">
        <v>165</v>
      </c>
      <c r="B332" s="4" t="s">
        <v>296</v>
      </c>
      <c r="C332" s="4" t="s">
        <v>251</v>
      </c>
      <c r="D332" s="19">
        <v>16406</v>
      </c>
      <c r="E332" s="4" t="s">
        <v>816</v>
      </c>
    </row>
    <row r="333" spans="1:5" x14ac:dyDescent="0.25">
      <c r="A333" s="4" t="s">
        <v>165</v>
      </c>
      <c r="B333" s="4" t="s">
        <v>298</v>
      </c>
      <c r="C333" s="4" t="s">
        <v>251</v>
      </c>
      <c r="D333" s="19">
        <v>20502</v>
      </c>
      <c r="E333" s="4" t="s">
        <v>817</v>
      </c>
    </row>
    <row r="334" spans="1:5" x14ac:dyDescent="0.25">
      <c r="A334" s="4" t="s">
        <v>165</v>
      </c>
      <c r="B334" s="4" t="s">
        <v>300</v>
      </c>
      <c r="C334" s="4" t="s">
        <v>251</v>
      </c>
      <c r="D334" s="19">
        <v>20502</v>
      </c>
      <c r="E334" s="4" t="s">
        <v>818</v>
      </c>
    </row>
    <row r="335" spans="1:5" x14ac:dyDescent="0.25">
      <c r="A335" s="4" t="s">
        <v>165</v>
      </c>
      <c r="B335" s="4" t="s">
        <v>302</v>
      </c>
      <c r="C335" s="4" t="s">
        <v>251</v>
      </c>
      <c r="D335" s="19">
        <v>16406</v>
      </c>
      <c r="E335" s="4" t="s">
        <v>819</v>
      </c>
    </row>
    <row r="336" spans="1:5" x14ac:dyDescent="0.25">
      <c r="A336" s="4" t="s">
        <v>165</v>
      </c>
      <c r="B336" s="4" t="s">
        <v>820</v>
      </c>
      <c r="C336" s="4" t="s">
        <v>270</v>
      </c>
      <c r="D336" s="19">
        <v>4440</v>
      </c>
      <c r="E336" s="4" t="s">
        <v>821</v>
      </c>
    </row>
    <row r="337" spans="1:5" x14ac:dyDescent="0.25">
      <c r="A337" s="4" t="s">
        <v>165</v>
      </c>
      <c r="B337" s="4" t="s">
        <v>304</v>
      </c>
      <c r="C337" s="4" t="s">
        <v>243</v>
      </c>
      <c r="D337" s="19">
        <v>318</v>
      </c>
      <c r="E337" s="4" t="s">
        <v>822</v>
      </c>
    </row>
    <row r="338" spans="1:5" x14ac:dyDescent="0.25">
      <c r="A338" s="4" t="s">
        <v>165</v>
      </c>
      <c r="B338" s="4" t="s">
        <v>306</v>
      </c>
      <c r="C338" s="4" t="s">
        <v>173</v>
      </c>
      <c r="D338" s="19">
        <v>16761</v>
      </c>
      <c r="E338" s="4" t="s">
        <v>823</v>
      </c>
    </row>
    <row r="339" spans="1:5" x14ac:dyDescent="0.25">
      <c r="A339" s="4" t="s">
        <v>165</v>
      </c>
      <c r="B339" s="4" t="s">
        <v>308</v>
      </c>
      <c r="C339" s="4" t="s">
        <v>248</v>
      </c>
      <c r="D339" s="19">
        <v>5152</v>
      </c>
      <c r="E339" s="4" t="s">
        <v>824</v>
      </c>
    </row>
    <row r="340" spans="1:5" x14ac:dyDescent="0.25">
      <c r="A340" s="4" t="s">
        <v>165</v>
      </c>
      <c r="B340" s="4" t="s">
        <v>310</v>
      </c>
      <c r="C340" s="4" t="s">
        <v>251</v>
      </c>
      <c r="D340" s="19">
        <v>12310</v>
      </c>
      <c r="E340" s="4" t="s">
        <v>825</v>
      </c>
    </row>
    <row r="341" spans="1:5" x14ac:dyDescent="0.25">
      <c r="A341" s="4" t="s">
        <v>165</v>
      </c>
      <c r="B341" s="4" t="s">
        <v>312</v>
      </c>
      <c r="C341" s="4" t="s">
        <v>251</v>
      </c>
      <c r="D341" s="19">
        <v>4118</v>
      </c>
      <c r="E341" s="4" t="s">
        <v>826</v>
      </c>
    </row>
    <row r="342" spans="1:5" x14ac:dyDescent="0.25">
      <c r="A342" s="4" t="s">
        <v>165</v>
      </c>
      <c r="B342" s="4" t="s">
        <v>314</v>
      </c>
      <c r="C342" s="4" t="s">
        <v>251</v>
      </c>
      <c r="D342" s="19">
        <v>12310</v>
      </c>
      <c r="E342" s="4" t="s">
        <v>827</v>
      </c>
    </row>
    <row r="343" spans="1:5" x14ac:dyDescent="0.25">
      <c r="A343" s="4" t="s">
        <v>165</v>
      </c>
      <c r="B343" s="4" t="s">
        <v>316</v>
      </c>
      <c r="C343" s="4" t="s">
        <v>251</v>
      </c>
      <c r="D343" s="19">
        <v>12310</v>
      </c>
      <c r="E343" s="4" t="s">
        <v>828</v>
      </c>
    </row>
    <row r="344" spans="1:5" x14ac:dyDescent="0.25">
      <c r="A344" s="4" t="s">
        <v>165</v>
      </c>
      <c r="B344" s="4" t="s">
        <v>318</v>
      </c>
      <c r="C344" s="4" t="s">
        <v>251</v>
      </c>
      <c r="D344" s="19">
        <v>4118</v>
      </c>
      <c r="E344" s="4" t="s">
        <v>829</v>
      </c>
    </row>
    <row r="345" spans="1:5" x14ac:dyDescent="0.25">
      <c r="A345" s="4" t="s">
        <v>165</v>
      </c>
      <c r="B345" s="4" t="s">
        <v>320</v>
      </c>
      <c r="C345" s="4" t="s">
        <v>251</v>
      </c>
      <c r="D345" s="19">
        <v>4118</v>
      </c>
      <c r="E345" s="4" t="s">
        <v>830</v>
      </c>
    </row>
    <row r="346" spans="1:5" x14ac:dyDescent="0.25">
      <c r="A346" s="4" t="s">
        <v>165</v>
      </c>
      <c r="B346" s="4" t="s">
        <v>322</v>
      </c>
      <c r="C346" s="4" t="s">
        <v>243</v>
      </c>
      <c r="D346" s="19">
        <v>602</v>
      </c>
      <c r="E346" s="4" t="s">
        <v>831</v>
      </c>
    </row>
    <row r="347" spans="1:5" x14ac:dyDescent="0.25">
      <c r="A347" s="4" t="s">
        <v>165</v>
      </c>
      <c r="B347" s="4" t="s">
        <v>324</v>
      </c>
      <c r="C347" s="4" t="s">
        <v>173</v>
      </c>
      <c r="D347" s="19">
        <v>3626</v>
      </c>
      <c r="E347" s="4" t="s">
        <v>832</v>
      </c>
    </row>
    <row r="348" spans="1:5" x14ac:dyDescent="0.25">
      <c r="A348" s="4" t="s">
        <v>165</v>
      </c>
      <c r="B348" s="4" t="s">
        <v>326</v>
      </c>
      <c r="C348" s="4" t="s">
        <v>248</v>
      </c>
      <c r="D348" s="19">
        <v>5152</v>
      </c>
      <c r="E348" s="4" t="s">
        <v>833</v>
      </c>
    </row>
    <row r="349" spans="1:5" x14ac:dyDescent="0.25">
      <c r="A349" s="4" t="s">
        <v>165</v>
      </c>
      <c r="B349" s="4" t="s">
        <v>328</v>
      </c>
      <c r="C349" s="4" t="s">
        <v>251</v>
      </c>
      <c r="D349" s="19">
        <v>4118</v>
      </c>
      <c r="E349" s="4" t="s">
        <v>834</v>
      </c>
    </row>
    <row r="350" spans="1:5" x14ac:dyDescent="0.25">
      <c r="A350" s="4" t="s">
        <v>165</v>
      </c>
      <c r="B350" s="4" t="s">
        <v>330</v>
      </c>
      <c r="C350" s="4" t="s">
        <v>251</v>
      </c>
      <c r="D350" s="19">
        <v>4118</v>
      </c>
      <c r="E350" s="4" t="s">
        <v>835</v>
      </c>
    </row>
    <row r="351" spans="1:5" x14ac:dyDescent="0.25">
      <c r="A351" s="4" t="s">
        <v>165</v>
      </c>
      <c r="B351" s="4" t="s">
        <v>332</v>
      </c>
      <c r="C351" s="4" t="s">
        <v>251</v>
      </c>
      <c r="D351" s="19">
        <v>4118</v>
      </c>
      <c r="E351" s="4" t="s">
        <v>836</v>
      </c>
    </row>
    <row r="352" spans="1:5" x14ac:dyDescent="0.25">
      <c r="A352" s="4" t="s">
        <v>165</v>
      </c>
      <c r="B352" s="4" t="s">
        <v>334</v>
      </c>
      <c r="C352" s="4" t="s">
        <v>251</v>
      </c>
      <c r="D352" s="19">
        <v>4118</v>
      </c>
      <c r="E352" s="4" t="s">
        <v>837</v>
      </c>
    </row>
    <row r="353" spans="1:5" x14ac:dyDescent="0.25">
      <c r="A353" s="4" t="s">
        <v>165</v>
      </c>
      <c r="B353" s="4" t="s">
        <v>336</v>
      </c>
      <c r="C353" s="4" t="s">
        <v>243</v>
      </c>
      <c r="D353" s="19">
        <v>378</v>
      </c>
      <c r="E353" s="4" t="s">
        <v>838</v>
      </c>
    </row>
    <row r="354" spans="1:5" x14ac:dyDescent="0.25">
      <c r="A354" s="4" t="s">
        <v>165</v>
      </c>
      <c r="B354" s="4" t="s">
        <v>338</v>
      </c>
      <c r="C354" s="4" t="s">
        <v>173</v>
      </c>
      <c r="D354" s="19">
        <v>334</v>
      </c>
      <c r="E354" s="4" t="s">
        <v>839</v>
      </c>
    </row>
    <row r="355" spans="1:5" x14ac:dyDescent="0.25">
      <c r="A355" s="4" t="s">
        <v>165</v>
      </c>
      <c r="B355" s="4" t="s">
        <v>340</v>
      </c>
      <c r="C355" s="4" t="s">
        <v>248</v>
      </c>
      <c r="D355" s="19">
        <v>32</v>
      </c>
      <c r="E355" s="4" t="s">
        <v>840</v>
      </c>
    </row>
    <row r="356" spans="1:5" x14ac:dyDescent="0.25">
      <c r="A356" s="4" t="s">
        <v>165</v>
      </c>
      <c r="B356" s="4" t="s">
        <v>342</v>
      </c>
      <c r="C356" s="4" t="s">
        <v>251</v>
      </c>
      <c r="D356" s="19">
        <v>4118</v>
      </c>
      <c r="E356" s="4" t="s">
        <v>841</v>
      </c>
    </row>
    <row r="357" spans="1:5" x14ac:dyDescent="0.25">
      <c r="A357" s="4" t="s">
        <v>165</v>
      </c>
      <c r="B357" s="4" t="s">
        <v>344</v>
      </c>
      <c r="C357" s="4" t="s">
        <v>251</v>
      </c>
      <c r="D357" s="19">
        <v>4118</v>
      </c>
      <c r="E357" s="4" t="s">
        <v>842</v>
      </c>
    </row>
    <row r="358" spans="1:5" x14ac:dyDescent="0.25">
      <c r="A358" s="4" t="s">
        <v>165</v>
      </c>
      <c r="B358" s="4" t="s">
        <v>346</v>
      </c>
      <c r="C358" s="4" t="s">
        <v>251</v>
      </c>
      <c r="D358" s="19">
        <v>4118</v>
      </c>
      <c r="E358" s="4" t="s">
        <v>843</v>
      </c>
    </row>
    <row r="359" spans="1:5" x14ac:dyDescent="0.25">
      <c r="A359" s="4" t="s">
        <v>165</v>
      </c>
      <c r="B359" s="4" t="s">
        <v>348</v>
      </c>
      <c r="C359" s="4" t="s">
        <v>243</v>
      </c>
      <c r="D359" s="19">
        <v>344</v>
      </c>
      <c r="E359" s="4" t="s">
        <v>844</v>
      </c>
    </row>
    <row r="360" spans="1:5" x14ac:dyDescent="0.25">
      <c r="A360" s="4" t="s">
        <v>165</v>
      </c>
      <c r="B360" s="4" t="s">
        <v>350</v>
      </c>
      <c r="C360" s="4" t="s">
        <v>173</v>
      </c>
      <c r="D360" s="19">
        <v>127</v>
      </c>
      <c r="E360" s="4" t="s">
        <v>845</v>
      </c>
    </row>
    <row r="361" spans="1:5" x14ac:dyDescent="0.25">
      <c r="A361" s="4" t="s">
        <v>165</v>
      </c>
      <c r="B361" s="4" t="s">
        <v>352</v>
      </c>
      <c r="C361" s="4" t="s">
        <v>248</v>
      </c>
      <c r="D361" s="19">
        <v>32</v>
      </c>
      <c r="E361" s="4" t="s">
        <v>846</v>
      </c>
    </row>
    <row r="362" spans="1:5" x14ac:dyDescent="0.25">
      <c r="A362" s="4" t="s">
        <v>165</v>
      </c>
      <c r="B362" s="4" t="s">
        <v>354</v>
      </c>
      <c r="C362" s="4" t="s">
        <v>243</v>
      </c>
      <c r="D362" s="19">
        <v>116</v>
      </c>
      <c r="E362" s="4" t="s">
        <v>847</v>
      </c>
    </row>
    <row r="363" spans="1:5" x14ac:dyDescent="0.25">
      <c r="A363" s="4" t="s">
        <v>165</v>
      </c>
      <c r="B363" s="4" t="s">
        <v>356</v>
      </c>
      <c r="C363" s="4" t="s">
        <v>173</v>
      </c>
      <c r="D363" s="19">
        <v>1640</v>
      </c>
      <c r="E363" s="4" t="s">
        <v>848</v>
      </c>
    </row>
    <row r="364" spans="1:5" x14ac:dyDescent="0.25">
      <c r="A364" s="4" t="s">
        <v>165</v>
      </c>
      <c r="B364" s="4" t="s">
        <v>358</v>
      </c>
      <c r="C364" s="4" t="s">
        <v>248</v>
      </c>
      <c r="D364" s="19">
        <v>5152</v>
      </c>
      <c r="E364" s="4" t="s">
        <v>849</v>
      </c>
    </row>
    <row r="365" spans="1:5" x14ac:dyDescent="0.25">
      <c r="A365" s="4" t="s">
        <v>165</v>
      </c>
      <c r="B365" s="4" t="s">
        <v>360</v>
      </c>
      <c r="C365" s="4" t="s">
        <v>279</v>
      </c>
      <c r="D365" s="19">
        <v>32</v>
      </c>
      <c r="E365" s="4" t="s">
        <v>850</v>
      </c>
    </row>
    <row r="366" spans="1:5" x14ac:dyDescent="0.25">
      <c r="A366" s="4" t="s">
        <v>165</v>
      </c>
      <c r="B366" s="4" t="s">
        <v>362</v>
      </c>
      <c r="C366" s="4" t="s">
        <v>282</v>
      </c>
      <c r="D366" s="19">
        <v>4118</v>
      </c>
      <c r="E366" s="4" t="s">
        <v>851</v>
      </c>
    </row>
    <row r="367" spans="1:5" x14ac:dyDescent="0.25">
      <c r="A367" s="4" t="s">
        <v>165</v>
      </c>
      <c r="B367" s="4" t="s">
        <v>364</v>
      </c>
      <c r="C367" s="4" t="s">
        <v>243</v>
      </c>
      <c r="D367" s="19">
        <v>116</v>
      </c>
      <c r="E367" s="4" t="s">
        <v>852</v>
      </c>
    </row>
    <row r="368" spans="1:5" x14ac:dyDescent="0.25">
      <c r="A368" s="4" t="s">
        <v>165</v>
      </c>
      <c r="B368" s="4" t="s">
        <v>366</v>
      </c>
      <c r="C368" s="4" t="s">
        <v>173</v>
      </c>
      <c r="D368" s="19">
        <v>2471</v>
      </c>
      <c r="E368" s="4" t="s">
        <v>853</v>
      </c>
    </row>
    <row r="369" spans="1:5" x14ac:dyDescent="0.25">
      <c r="A369" s="4" t="s">
        <v>165</v>
      </c>
      <c r="B369" s="4" t="s">
        <v>368</v>
      </c>
      <c r="C369" s="4" t="s">
        <v>248</v>
      </c>
      <c r="D369" s="19">
        <v>5152</v>
      </c>
      <c r="E369" s="4" t="s">
        <v>854</v>
      </c>
    </row>
    <row r="370" spans="1:5" x14ac:dyDescent="0.25">
      <c r="A370" s="4" t="s">
        <v>165</v>
      </c>
      <c r="B370" s="4" t="s">
        <v>370</v>
      </c>
      <c r="C370" s="4" t="s">
        <v>279</v>
      </c>
      <c r="D370" s="19">
        <v>32</v>
      </c>
      <c r="E370" s="4" t="s">
        <v>855</v>
      </c>
    </row>
    <row r="371" spans="1:5" x14ac:dyDescent="0.25">
      <c r="A371" s="4" t="s">
        <v>165</v>
      </c>
      <c r="B371" s="4" t="s">
        <v>372</v>
      </c>
      <c r="C371" s="4" t="s">
        <v>282</v>
      </c>
      <c r="D371" s="19">
        <v>4118</v>
      </c>
      <c r="E371" s="4" t="s">
        <v>856</v>
      </c>
    </row>
    <row r="372" spans="1:5" x14ac:dyDescent="0.25">
      <c r="A372" s="4" t="s">
        <v>165</v>
      </c>
      <c r="B372" s="4" t="s">
        <v>857</v>
      </c>
      <c r="C372" s="4" t="s">
        <v>270</v>
      </c>
      <c r="D372" s="19">
        <v>4440</v>
      </c>
      <c r="E372" s="4" t="s">
        <v>858</v>
      </c>
    </row>
    <row r="373" spans="1:5" x14ac:dyDescent="0.25">
      <c r="A373" s="4" t="s">
        <v>165</v>
      </c>
      <c r="B373" s="4" t="s">
        <v>658</v>
      </c>
      <c r="C373" s="4" t="s">
        <v>243</v>
      </c>
      <c r="D373" s="19">
        <v>116</v>
      </c>
      <c r="E373" s="4" t="s">
        <v>859</v>
      </c>
    </row>
    <row r="374" spans="1:5" x14ac:dyDescent="0.25">
      <c r="A374" s="4" t="s">
        <v>165</v>
      </c>
      <c r="B374" s="4" t="s">
        <v>660</v>
      </c>
      <c r="C374" s="4" t="s">
        <v>173</v>
      </c>
      <c r="D374" s="19">
        <v>18041173</v>
      </c>
      <c r="E374" s="4" t="s">
        <v>860</v>
      </c>
    </row>
    <row r="375" spans="1:5" x14ac:dyDescent="0.25">
      <c r="A375" s="4" t="s">
        <v>165</v>
      </c>
      <c r="B375" s="4" t="s">
        <v>662</v>
      </c>
      <c r="C375" s="4" t="s">
        <v>248</v>
      </c>
      <c r="D375" s="19">
        <v>599072</v>
      </c>
      <c r="E375" s="4" t="s">
        <v>861</v>
      </c>
    </row>
    <row r="376" spans="1:5" x14ac:dyDescent="0.25">
      <c r="A376" s="4" t="s">
        <v>165</v>
      </c>
      <c r="B376" s="4" t="s">
        <v>664</v>
      </c>
      <c r="C376" s="4" t="s">
        <v>279</v>
      </c>
      <c r="D376" s="19">
        <v>32</v>
      </c>
      <c r="E376" s="4" t="s">
        <v>862</v>
      </c>
    </row>
    <row r="377" spans="1:5" x14ac:dyDescent="0.25">
      <c r="A377" s="4" t="s">
        <v>165</v>
      </c>
      <c r="B377" s="4" t="s">
        <v>666</v>
      </c>
      <c r="C377" s="4" t="s">
        <v>282</v>
      </c>
      <c r="D377" s="19">
        <v>2105366</v>
      </c>
      <c r="E377" s="4" t="s">
        <v>863</v>
      </c>
    </row>
    <row r="378" spans="1:5" x14ac:dyDescent="0.25">
      <c r="A378" s="4" t="s">
        <v>165</v>
      </c>
      <c r="B378" s="4" t="s">
        <v>668</v>
      </c>
      <c r="C378" s="4" t="s">
        <v>243</v>
      </c>
      <c r="D378" s="19">
        <v>116</v>
      </c>
      <c r="E378" s="4" t="s">
        <v>864</v>
      </c>
    </row>
    <row r="379" spans="1:5" x14ac:dyDescent="0.25">
      <c r="A379" s="4" t="s">
        <v>165</v>
      </c>
      <c r="B379" s="4" t="s">
        <v>670</v>
      </c>
      <c r="C379" s="4" t="s">
        <v>173</v>
      </c>
      <c r="D379" s="19">
        <v>15540798</v>
      </c>
      <c r="E379" s="4" t="s">
        <v>865</v>
      </c>
    </row>
    <row r="380" spans="1:5" x14ac:dyDescent="0.25">
      <c r="A380" s="4" t="s">
        <v>165</v>
      </c>
      <c r="B380" s="4" t="s">
        <v>672</v>
      </c>
      <c r="C380" s="4" t="s">
        <v>248</v>
      </c>
      <c r="D380" s="19">
        <v>230432</v>
      </c>
      <c r="E380" s="4" t="s">
        <v>866</v>
      </c>
    </row>
    <row r="381" spans="1:5" x14ac:dyDescent="0.25">
      <c r="A381" s="4" t="s">
        <v>165</v>
      </c>
      <c r="B381" s="4" t="s">
        <v>674</v>
      </c>
      <c r="C381" s="4" t="s">
        <v>279</v>
      </c>
      <c r="D381" s="19">
        <v>32</v>
      </c>
      <c r="E381" s="4" t="s">
        <v>867</v>
      </c>
    </row>
    <row r="382" spans="1:5" x14ac:dyDescent="0.25">
      <c r="A382" s="4" t="s">
        <v>165</v>
      </c>
      <c r="B382" s="4" t="s">
        <v>676</v>
      </c>
      <c r="C382" s="4" t="s">
        <v>282</v>
      </c>
      <c r="D382" s="19">
        <v>806934</v>
      </c>
      <c r="E382" s="4" t="s">
        <v>868</v>
      </c>
    </row>
    <row r="383" spans="1:5" x14ac:dyDescent="0.25">
      <c r="A383" s="4" t="s">
        <v>165</v>
      </c>
      <c r="B383" s="4" t="s">
        <v>682</v>
      </c>
      <c r="C383" s="4" t="s">
        <v>243</v>
      </c>
      <c r="D383" s="19">
        <v>116</v>
      </c>
      <c r="E383" s="4" t="s">
        <v>869</v>
      </c>
    </row>
    <row r="384" spans="1:5" x14ac:dyDescent="0.25">
      <c r="A384" s="4" t="s">
        <v>165</v>
      </c>
      <c r="B384" s="4" t="s">
        <v>684</v>
      </c>
      <c r="C384" s="4" t="s">
        <v>173</v>
      </c>
      <c r="D384" s="19">
        <v>11552</v>
      </c>
      <c r="E384" s="4" t="s">
        <v>870</v>
      </c>
    </row>
    <row r="385" spans="1:5" x14ac:dyDescent="0.25">
      <c r="A385" s="4" t="s">
        <v>165</v>
      </c>
      <c r="B385" s="4" t="s">
        <v>686</v>
      </c>
      <c r="C385" s="4" t="s">
        <v>248</v>
      </c>
      <c r="D385" s="19">
        <v>5152</v>
      </c>
      <c r="E385" s="4" t="s">
        <v>871</v>
      </c>
    </row>
    <row r="386" spans="1:5" x14ac:dyDescent="0.25">
      <c r="A386" s="4" t="s">
        <v>165</v>
      </c>
      <c r="B386" s="4" t="s">
        <v>688</v>
      </c>
      <c r="C386" s="4" t="s">
        <v>279</v>
      </c>
      <c r="D386" s="19">
        <v>32</v>
      </c>
      <c r="E386" s="4" t="s">
        <v>872</v>
      </c>
    </row>
    <row r="387" spans="1:5" x14ac:dyDescent="0.25">
      <c r="A387" s="4" t="s">
        <v>165</v>
      </c>
      <c r="B387" s="4" t="s">
        <v>690</v>
      </c>
      <c r="C387" s="4" t="s">
        <v>282</v>
      </c>
      <c r="D387" s="19">
        <v>4118</v>
      </c>
      <c r="E387" s="4" t="s">
        <v>873</v>
      </c>
    </row>
    <row r="388" spans="1:5" x14ac:dyDescent="0.25">
      <c r="A388" s="4" t="s">
        <v>165</v>
      </c>
      <c r="B388" s="4" t="s">
        <v>694</v>
      </c>
      <c r="C388" s="4" t="s">
        <v>243</v>
      </c>
      <c r="D388" s="19">
        <v>116</v>
      </c>
      <c r="E388" s="4" t="s">
        <v>874</v>
      </c>
    </row>
    <row r="389" spans="1:5" x14ac:dyDescent="0.25">
      <c r="A389" s="4" t="s">
        <v>165</v>
      </c>
      <c r="B389" s="4" t="s">
        <v>696</v>
      </c>
      <c r="C389" s="4" t="s">
        <v>173</v>
      </c>
      <c r="D389" s="19">
        <v>406444</v>
      </c>
      <c r="E389" s="4" t="s">
        <v>875</v>
      </c>
    </row>
    <row r="390" spans="1:5" x14ac:dyDescent="0.25">
      <c r="A390" s="4" t="s">
        <v>165</v>
      </c>
      <c r="B390" s="4" t="s">
        <v>698</v>
      </c>
      <c r="C390" s="4" t="s">
        <v>248</v>
      </c>
      <c r="D390" s="19">
        <v>5152</v>
      </c>
      <c r="E390" s="4" t="s">
        <v>876</v>
      </c>
    </row>
    <row r="391" spans="1:5" x14ac:dyDescent="0.25">
      <c r="A391" s="4" t="s">
        <v>165</v>
      </c>
      <c r="B391" s="4" t="s">
        <v>700</v>
      </c>
      <c r="C391" s="4" t="s">
        <v>279</v>
      </c>
      <c r="D391" s="19">
        <v>32</v>
      </c>
      <c r="E391" s="4" t="s">
        <v>877</v>
      </c>
    </row>
    <row r="392" spans="1:5" x14ac:dyDescent="0.25">
      <c r="A392" s="4" t="s">
        <v>165</v>
      </c>
      <c r="B392" s="4" t="s">
        <v>702</v>
      </c>
      <c r="C392" s="4" t="s">
        <v>282</v>
      </c>
      <c r="D392" s="19">
        <v>4118</v>
      </c>
      <c r="E392" s="4" t="s">
        <v>878</v>
      </c>
    </row>
    <row r="393" spans="1:5" x14ac:dyDescent="0.25">
      <c r="A393" s="4" t="s">
        <v>165</v>
      </c>
      <c r="B393" s="4" t="s">
        <v>704</v>
      </c>
      <c r="C393" s="4" t="s">
        <v>243</v>
      </c>
      <c r="D393" s="19">
        <v>116</v>
      </c>
      <c r="E393" s="4" t="s">
        <v>879</v>
      </c>
    </row>
    <row r="394" spans="1:5" x14ac:dyDescent="0.25">
      <c r="A394" s="4" t="s">
        <v>165</v>
      </c>
      <c r="B394" s="4" t="s">
        <v>706</v>
      </c>
      <c r="C394" s="4" t="s">
        <v>173</v>
      </c>
      <c r="D394" s="19">
        <v>915408</v>
      </c>
      <c r="E394" s="4" t="s">
        <v>880</v>
      </c>
    </row>
    <row r="395" spans="1:5" x14ac:dyDescent="0.25">
      <c r="A395" s="4" t="s">
        <v>165</v>
      </c>
      <c r="B395" s="4" t="s">
        <v>708</v>
      </c>
      <c r="C395" s="4" t="s">
        <v>248</v>
      </c>
      <c r="D395" s="19">
        <v>5152</v>
      </c>
      <c r="E395" s="4" t="s">
        <v>881</v>
      </c>
    </row>
    <row r="396" spans="1:5" x14ac:dyDescent="0.25">
      <c r="A396" s="4" t="s">
        <v>165</v>
      </c>
      <c r="B396" s="4" t="s">
        <v>710</v>
      </c>
      <c r="C396" s="4" t="s">
        <v>279</v>
      </c>
      <c r="D396" s="19">
        <v>32</v>
      </c>
      <c r="E396" s="4" t="s">
        <v>882</v>
      </c>
    </row>
    <row r="397" spans="1:5" x14ac:dyDescent="0.25">
      <c r="A397" s="4" t="s">
        <v>165</v>
      </c>
      <c r="B397" s="4" t="s">
        <v>712</v>
      </c>
      <c r="C397" s="4" t="s">
        <v>282</v>
      </c>
      <c r="D397" s="19">
        <v>4118</v>
      </c>
      <c r="E397" s="4" t="s">
        <v>883</v>
      </c>
    </row>
    <row r="398" spans="1:5" x14ac:dyDescent="0.25">
      <c r="A398" s="4" t="s">
        <v>165</v>
      </c>
      <c r="B398" s="4" t="s">
        <v>718</v>
      </c>
      <c r="C398" s="4" t="s">
        <v>243</v>
      </c>
      <c r="D398" s="19">
        <v>124</v>
      </c>
      <c r="E398" s="4" t="s">
        <v>884</v>
      </c>
    </row>
    <row r="399" spans="1:5" x14ac:dyDescent="0.25">
      <c r="A399" s="4" t="s">
        <v>165</v>
      </c>
      <c r="B399" s="4" t="s">
        <v>720</v>
      </c>
      <c r="C399" s="4" t="s">
        <v>173</v>
      </c>
      <c r="D399" s="19">
        <v>822252</v>
      </c>
      <c r="E399" s="4" t="s">
        <v>885</v>
      </c>
    </row>
    <row r="400" spans="1:5" x14ac:dyDescent="0.25">
      <c r="A400" s="4" t="s">
        <v>165</v>
      </c>
      <c r="B400" s="4" t="s">
        <v>722</v>
      </c>
      <c r="C400" s="4" t="s">
        <v>248</v>
      </c>
      <c r="D400" s="19">
        <v>5152</v>
      </c>
      <c r="E400" s="4" t="s">
        <v>886</v>
      </c>
    </row>
    <row r="401" spans="1:5" x14ac:dyDescent="0.25">
      <c r="A401" s="4" t="s">
        <v>165</v>
      </c>
      <c r="B401" s="4" t="s">
        <v>724</v>
      </c>
      <c r="C401" s="4" t="s">
        <v>279</v>
      </c>
      <c r="D401" s="19">
        <v>32</v>
      </c>
      <c r="E401" s="4" t="s">
        <v>887</v>
      </c>
    </row>
    <row r="402" spans="1:5" x14ac:dyDescent="0.25">
      <c r="A402" s="4" t="s">
        <v>165</v>
      </c>
      <c r="B402" s="4" t="s">
        <v>726</v>
      </c>
      <c r="C402" s="4" t="s">
        <v>282</v>
      </c>
      <c r="D402" s="19">
        <v>4118</v>
      </c>
      <c r="E402" s="4" t="s">
        <v>888</v>
      </c>
    </row>
    <row r="403" spans="1:5" x14ac:dyDescent="0.25">
      <c r="A403" s="4" t="s">
        <v>165</v>
      </c>
      <c r="B403" s="4" t="s">
        <v>734</v>
      </c>
      <c r="C403" s="4" t="s">
        <v>243</v>
      </c>
      <c r="D403" s="19">
        <v>116</v>
      </c>
      <c r="E403" s="4" t="s">
        <v>889</v>
      </c>
    </row>
    <row r="404" spans="1:5" x14ac:dyDescent="0.25">
      <c r="A404" s="4" t="s">
        <v>165</v>
      </c>
      <c r="B404" s="4" t="s">
        <v>736</v>
      </c>
      <c r="C404" s="4" t="s">
        <v>173</v>
      </c>
      <c r="D404" s="19">
        <v>619075</v>
      </c>
      <c r="E404" s="4" t="s">
        <v>890</v>
      </c>
    </row>
    <row r="405" spans="1:5" x14ac:dyDescent="0.25">
      <c r="A405" s="4" t="s">
        <v>165</v>
      </c>
      <c r="B405" s="4" t="s">
        <v>738</v>
      </c>
      <c r="C405" s="4" t="s">
        <v>248</v>
      </c>
      <c r="D405" s="19">
        <v>5152</v>
      </c>
      <c r="E405" s="4" t="s">
        <v>891</v>
      </c>
    </row>
    <row r="406" spans="1:5" x14ac:dyDescent="0.25">
      <c r="A406" s="4" t="s">
        <v>165</v>
      </c>
      <c r="B406" s="4" t="s">
        <v>740</v>
      </c>
      <c r="C406" s="4" t="s">
        <v>279</v>
      </c>
      <c r="D406" s="19">
        <v>32</v>
      </c>
      <c r="E406" s="4" t="s">
        <v>892</v>
      </c>
    </row>
    <row r="407" spans="1:5" x14ac:dyDescent="0.25">
      <c r="A407" s="4" t="s">
        <v>165</v>
      </c>
      <c r="B407" s="4" t="s">
        <v>742</v>
      </c>
      <c r="C407" s="4" t="s">
        <v>282</v>
      </c>
      <c r="D407" s="19">
        <v>4118</v>
      </c>
      <c r="E407" s="4" t="s">
        <v>893</v>
      </c>
    </row>
    <row r="408" spans="1:5" x14ac:dyDescent="0.25">
      <c r="A408" s="4" t="s">
        <v>165</v>
      </c>
      <c r="B408" s="4" t="s">
        <v>894</v>
      </c>
      <c r="C408" s="4" t="s">
        <v>251</v>
      </c>
      <c r="D408" s="19">
        <v>4118</v>
      </c>
      <c r="E408" s="4" t="s">
        <v>895</v>
      </c>
    </row>
    <row r="409" spans="1:5" x14ac:dyDescent="0.25">
      <c r="A409" s="4" t="s">
        <v>165</v>
      </c>
      <c r="B409" s="4" t="s">
        <v>896</v>
      </c>
      <c r="C409" s="4" t="s">
        <v>270</v>
      </c>
      <c r="D409" s="19">
        <v>4440</v>
      </c>
      <c r="E409" s="4" t="s">
        <v>897</v>
      </c>
    </row>
    <row r="410" spans="1:5" x14ac:dyDescent="0.25">
      <c r="A410" s="4" t="s">
        <v>165</v>
      </c>
      <c r="B410" s="4" t="s">
        <v>746</v>
      </c>
      <c r="C410" s="4" t="s">
        <v>243</v>
      </c>
      <c r="D410" s="19">
        <v>276</v>
      </c>
      <c r="E410" s="4" t="s">
        <v>898</v>
      </c>
    </row>
    <row r="411" spans="1:5" x14ac:dyDescent="0.25">
      <c r="A411" s="4" t="s">
        <v>165</v>
      </c>
      <c r="B411" s="4" t="s">
        <v>748</v>
      </c>
      <c r="C411" s="4" t="s">
        <v>173</v>
      </c>
      <c r="D411" s="19">
        <v>4523</v>
      </c>
      <c r="E411" s="4" t="s">
        <v>899</v>
      </c>
    </row>
    <row r="412" spans="1:5" x14ac:dyDescent="0.25">
      <c r="A412" s="4" t="s">
        <v>165</v>
      </c>
      <c r="B412" s="4" t="s">
        <v>750</v>
      </c>
      <c r="C412" s="4" t="s">
        <v>248</v>
      </c>
      <c r="D412" s="19">
        <v>5152</v>
      </c>
      <c r="E412" s="4" t="s">
        <v>900</v>
      </c>
    </row>
    <row r="413" spans="1:5" x14ac:dyDescent="0.25">
      <c r="A413" s="4" t="s">
        <v>165</v>
      </c>
      <c r="B413" s="4" t="s">
        <v>752</v>
      </c>
      <c r="C413" s="4" t="s">
        <v>279</v>
      </c>
      <c r="D413" s="19">
        <v>32</v>
      </c>
      <c r="E413" s="4" t="s">
        <v>901</v>
      </c>
    </row>
    <row r="414" spans="1:5" x14ac:dyDescent="0.25">
      <c r="A414" s="4" t="s">
        <v>165</v>
      </c>
      <c r="B414" s="4" t="s">
        <v>754</v>
      </c>
      <c r="C414" s="4" t="s">
        <v>282</v>
      </c>
      <c r="D414" s="19">
        <v>4118</v>
      </c>
      <c r="E414" s="4" t="s">
        <v>902</v>
      </c>
    </row>
    <row r="415" spans="1:5" x14ac:dyDescent="0.25">
      <c r="A415" s="4" t="s">
        <v>165</v>
      </c>
      <c r="B415" s="4" t="s">
        <v>903</v>
      </c>
      <c r="C415" s="4" t="s">
        <v>251</v>
      </c>
      <c r="D415" s="19">
        <v>4118</v>
      </c>
      <c r="E415" s="4" t="s">
        <v>904</v>
      </c>
    </row>
    <row r="416" spans="1:5" x14ac:dyDescent="0.25">
      <c r="A416" s="4" t="s">
        <v>165</v>
      </c>
      <c r="B416" s="4" t="s">
        <v>905</v>
      </c>
      <c r="C416" s="4" t="s">
        <v>251</v>
      </c>
      <c r="D416" s="19">
        <v>4118</v>
      </c>
      <c r="E416" s="4" t="s">
        <v>906</v>
      </c>
    </row>
    <row r="417" spans="1:5" x14ac:dyDescent="0.25">
      <c r="A417" s="4" t="s">
        <v>165</v>
      </c>
      <c r="B417" s="4" t="s">
        <v>907</v>
      </c>
      <c r="C417" s="4" t="s">
        <v>270</v>
      </c>
      <c r="D417" s="19">
        <v>4440</v>
      </c>
      <c r="E417" s="4" t="s">
        <v>908</v>
      </c>
    </row>
    <row r="418" spans="1:5" x14ac:dyDescent="0.25">
      <c r="A418" s="4" t="s">
        <v>165</v>
      </c>
      <c r="B418" s="4" t="s">
        <v>756</v>
      </c>
      <c r="C418" s="4" t="s">
        <v>243</v>
      </c>
      <c r="D418" s="19">
        <v>276</v>
      </c>
      <c r="E418" s="4" t="s">
        <v>909</v>
      </c>
    </row>
    <row r="419" spans="1:5" x14ac:dyDescent="0.25">
      <c r="A419" s="4" t="s">
        <v>165</v>
      </c>
      <c r="B419" s="4" t="s">
        <v>758</v>
      </c>
      <c r="C419" s="4" t="s">
        <v>173</v>
      </c>
      <c r="D419" s="19">
        <v>6084</v>
      </c>
      <c r="E419" s="4" t="s">
        <v>910</v>
      </c>
    </row>
    <row r="420" spans="1:5" x14ac:dyDescent="0.25">
      <c r="A420" s="4" t="s">
        <v>165</v>
      </c>
      <c r="B420" s="4" t="s">
        <v>760</v>
      </c>
      <c r="C420" s="4" t="s">
        <v>248</v>
      </c>
      <c r="D420" s="19">
        <v>5152</v>
      </c>
      <c r="E420" s="4" t="s">
        <v>911</v>
      </c>
    </row>
    <row r="421" spans="1:5" x14ac:dyDescent="0.25">
      <c r="A421" s="4" t="s">
        <v>165</v>
      </c>
      <c r="B421" s="4" t="s">
        <v>762</v>
      </c>
      <c r="C421" s="4" t="s">
        <v>279</v>
      </c>
      <c r="D421" s="19">
        <v>32</v>
      </c>
      <c r="E421" s="4" t="s">
        <v>912</v>
      </c>
    </row>
    <row r="422" spans="1:5" x14ac:dyDescent="0.25">
      <c r="A422" s="4" t="s">
        <v>165</v>
      </c>
      <c r="B422" s="4" t="s">
        <v>764</v>
      </c>
      <c r="C422" s="4" t="s">
        <v>282</v>
      </c>
      <c r="D422" s="19">
        <v>4118</v>
      </c>
      <c r="E422" s="4" t="s">
        <v>913</v>
      </c>
    </row>
    <row r="423" spans="1:5" x14ac:dyDescent="0.25">
      <c r="A423" s="4" t="s">
        <v>165</v>
      </c>
      <c r="B423" s="4" t="s">
        <v>914</v>
      </c>
      <c r="C423" s="4" t="s">
        <v>251</v>
      </c>
      <c r="D423" s="19">
        <v>4118</v>
      </c>
      <c r="E423" s="4" t="s">
        <v>915</v>
      </c>
    </row>
    <row r="424" spans="1:5" x14ac:dyDescent="0.25">
      <c r="A424" s="4" t="s">
        <v>165</v>
      </c>
      <c r="B424" s="4" t="s">
        <v>916</v>
      </c>
      <c r="C424" s="4" t="s">
        <v>243</v>
      </c>
      <c r="D424" s="19">
        <v>116</v>
      </c>
      <c r="E424" s="4" t="s">
        <v>917</v>
      </c>
    </row>
    <row r="425" spans="1:5" x14ac:dyDescent="0.25">
      <c r="A425" s="4" t="s">
        <v>165</v>
      </c>
      <c r="B425" s="4" t="s">
        <v>918</v>
      </c>
      <c r="C425" s="4" t="s">
        <v>173</v>
      </c>
      <c r="D425" s="19">
        <v>1936</v>
      </c>
      <c r="E425" s="4" t="s">
        <v>919</v>
      </c>
    </row>
    <row r="426" spans="1:5" x14ac:dyDescent="0.25">
      <c r="A426" s="4" t="s">
        <v>165</v>
      </c>
      <c r="B426" s="4" t="s">
        <v>920</v>
      </c>
      <c r="C426" s="4" t="s">
        <v>248</v>
      </c>
      <c r="D426" s="19">
        <v>5152</v>
      </c>
      <c r="E426" s="4" t="s">
        <v>921</v>
      </c>
    </row>
    <row r="427" spans="1:5" x14ac:dyDescent="0.25">
      <c r="A427" s="4" t="s">
        <v>165</v>
      </c>
      <c r="B427" s="4" t="s">
        <v>922</v>
      </c>
      <c r="C427" s="4" t="s">
        <v>279</v>
      </c>
      <c r="D427" s="19">
        <v>32</v>
      </c>
      <c r="E427" s="4" t="s">
        <v>923</v>
      </c>
    </row>
    <row r="428" spans="1:5" x14ac:dyDescent="0.25">
      <c r="A428" s="4" t="s">
        <v>165</v>
      </c>
      <c r="B428" s="4" t="s">
        <v>924</v>
      </c>
      <c r="C428" s="4" t="s">
        <v>282</v>
      </c>
      <c r="D428" s="19">
        <v>4118</v>
      </c>
      <c r="E428" s="4" t="s">
        <v>925</v>
      </c>
    </row>
    <row r="429" spans="1:5" x14ac:dyDescent="0.25">
      <c r="A429" s="4" t="s">
        <v>165</v>
      </c>
      <c r="B429" s="4" t="s">
        <v>926</v>
      </c>
      <c r="C429" s="4" t="s">
        <v>243</v>
      </c>
      <c r="D429" s="19">
        <v>116</v>
      </c>
      <c r="E429" s="4" t="s">
        <v>927</v>
      </c>
    </row>
    <row r="430" spans="1:5" x14ac:dyDescent="0.25">
      <c r="A430" s="4" t="s">
        <v>165</v>
      </c>
      <c r="B430" s="4" t="s">
        <v>928</v>
      </c>
      <c r="C430" s="4" t="s">
        <v>173</v>
      </c>
      <c r="D430" s="19">
        <v>233305</v>
      </c>
      <c r="E430" s="4" t="s">
        <v>929</v>
      </c>
    </row>
    <row r="431" spans="1:5" x14ac:dyDescent="0.25">
      <c r="A431" s="4" t="s">
        <v>165</v>
      </c>
      <c r="B431" s="4" t="s">
        <v>930</v>
      </c>
      <c r="C431" s="4" t="s">
        <v>248</v>
      </c>
      <c r="D431" s="19">
        <v>5152</v>
      </c>
      <c r="E431" s="4" t="s">
        <v>931</v>
      </c>
    </row>
    <row r="432" spans="1:5" x14ac:dyDescent="0.25">
      <c r="A432" s="4" t="s">
        <v>165</v>
      </c>
      <c r="B432" s="4" t="s">
        <v>932</v>
      </c>
      <c r="C432" s="4" t="s">
        <v>279</v>
      </c>
      <c r="D432" s="19">
        <v>32</v>
      </c>
      <c r="E432" s="4" t="s">
        <v>933</v>
      </c>
    </row>
    <row r="433" spans="1:5" x14ac:dyDescent="0.25">
      <c r="A433" s="4" t="s">
        <v>165</v>
      </c>
      <c r="B433" s="4" t="s">
        <v>934</v>
      </c>
      <c r="C433" s="4" t="s">
        <v>282</v>
      </c>
      <c r="D433" s="19">
        <v>4118</v>
      </c>
      <c r="E433" s="4" t="s">
        <v>935</v>
      </c>
    </row>
    <row r="434" spans="1:5" x14ac:dyDescent="0.25">
      <c r="A434" s="4" t="s">
        <v>165</v>
      </c>
      <c r="B434" s="4" t="s">
        <v>936</v>
      </c>
      <c r="C434" s="4" t="s">
        <v>243</v>
      </c>
      <c r="D434" s="19">
        <v>116</v>
      </c>
      <c r="E434" s="4" t="s">
        <v>937</v>
      </c>
    </row>
    <row r="435" spans="1:5" x14ac:dyDescent="0.25">
      <c r="A435" s="4" t="s">
        <v>165</v>
      </c>
      <c r="B435" s="4" t="s">
        <v>938</v>
      </c>
      <c r="C435" s="4" t="s">
        <v>173</v>
      </c>
      <c r="D435" s="19">
        <v>573767</v>
      </c>
      <c r="E435" s="4" t="s">
        <v>939</v>
      </c>
    </row>
    <row r="436" spans="1:5" x14ac:dyDescent="0.25">
      <c r="A436" s="4" t="s">
        <v>165</v>
      </c>
      <c r="B436" s="4" t="s">
        <v>940</v>
      </c>
      <c r="C436" s="4" t="s">
        <v>248</v>
      </c>
      <c r="D436" s="19">
        <v>5152</v>
      </c>
      <c r="E436" s="4" t="s">
        <v>941</v>
      </c>
    </row>
    <row r="437" spans="1:5" x14ac:dyDescent="0.25">
      <c r="A437" s="4" t="s">
        <v>165</v>
      </c>
      <c r="B437" s="4" t="s">
        <v>942</v>
      </c>
      <c r="C437" s="4" t="s">
        <v>279</v>
      </c>
      <c r="D437" s="19">
        <v>32</v>
      </c>
      <c r="E437" s="4" t="s">
        <v>943</v>
      </c>
    </row>
    <row r="438" spans="1:5" x14ac:dyDescent="0.25">
      <c r="A438" s="4" t="s">
        <v>165</v>
      </c>
      <c r="B438" s="4" t="s">
        <v>944</v>
      </c>
      <c r="C438" s="4" t="s">
        <v>282</v>
      </c>
      <c r="D438" s="19">
        <v>4118</v>
      </c>
      <c r="E438" s="4" t="s">
        <v>945</v>
      </c>
    </row>
    <row r="439" spans="1:5" x14ac:dyDescent="0.25">
      <c r="A439" s="4" t="s">
        <v>165</v>
      </c>
      <c r="B439" s="4" t="s">
        <v>946</v>
      </c>
      <c r="C439" s="4" t="s">
        <v>243</v>
      </c>
      <c r="D439" s="19">
        <v>116</v>
      </c>
      <c r="E439" s="4" t="s">
        <v>947</v>
      </c>
    </row>
    <row r="440" spans="1:5" x14ac:dyDescent="0.25">
      <c r="A440" s="4" t="s">
        <v>165</v>
      </c>
      <c r="B440" s="4" t="s">
        <v>948</v>
      </c>
      <c r="C440" s="4" t="s">
        <v>173</v>
      </c>
      <c r="D440" s="19">
        <v>41096</v>
      </c>
      <c r="E440" s="4" t="s">
        <v>949</v>
      </c>
    </row>
    <row r="441" spans="1:5" x14ac:dyDescent="0.25">
      <c r="A441" s="4" t="s">
        <v>165</v>
      </c>
      <c r="B441" s="4" t="s">
        <v>950</v>
      </c>
      <c r="C441" s="4" t="s">
        <v>248</v>
      </c>
      <c r="D441" s="19">
        <v>5152</v>
      </c>
      <c r="E441" s="4" t="s">
        <v>951</v>
      </c>
    </row>
    <row r="442" spans="1:5" x14ac:dyDescent="0.25">
      <c r="A442" s="4" t="s">
        <v>165</v>
      </c>
      <c r="B442" s="4" t="s">
        <v>952</v>
      </c>
      <c r="C442" s="4" t="s">
        <v>279</v>
      </c>
      <c r="D442" s="19">
        <v>32</v>
      </c>
      <c r="E442" s="4" t="s">
        <v>953</v>
      </c>
    </row>
    <row r="443" spans="1:5" x14ac:dyDescent="0.25">
      <c r="A443" s="4" t="s">
        <v>165</v>
      </c>
      <c r="B443" s="4" t="s">
        <v>954</v>
      </c>
      <c r="C443" s="4" t="s">
        <v>282</v>
      </c>
      <c r="D443" s="19">
        <v>4118</v>
      </c>
      <c r="E443" s="4" t="s">
        <v>955</v>
      </c>
    </row>
    <row r="444" spans="1:5" x14ac:dyDescent="0.25">
      <c r="A444" s="4" t="s">
        <v>165</v>
      </c>
      <c r="B444" s="4" t="s">
        <v>956</v>
      </c>
      <c r="C444" s="4" t="s">
        <v>243</v>
      </c>
      <c r="D444" s="19">
        <v>116</v>
      </c>
      <c r="E444" s="4" t="s">
        <v>957</v>
      </c>
    </row>
    <row r="445" spans="1:5" x14ac:dyDescent="0.25">
      <c r="A445" s="4" t="s">
        <v>165</v>
      </c>
      <c r="B445" s="4" t="s">
        <v>958</v>
      </c>
      <c r="C445" s="4" t="s">
        <v>173</v>
      </c>
      <c r="D445" s="19">
        <v>408622</v>
      </c>
      <c r="E445" s="4" t="s">
        <v>959</v>
      </c>
    </row>
    <row r="446" spans="1:5" x14ac:dyDescent="0.25">
      <c r="A446" s="4" t="s">
        <v>165</v>
      </c>
      <c r="B446" s="4" t="s">
        <v>960</v>
      </c>
      <c r="C446" s="4" t="s">
        <v>248</v>
      </c>
      <c r="D446" s="19">
        <v>5152</v>
      </c>
      <c r="E446" s="4" t="s">
        <v>961</v>
      </c>
    </row>
    <row r="447" spans="1:5" x14ac:dyDescent="0.25">
      <c r="A447" s="4" t="s">
        <v>165</v>
      </c>
      <c r="B447" s="4" t="s">
        <v>962</v>
      </c>
      <c r="C447" s="4" t="s">
        <v>279</v>
      </c>
      <c r="D447" s="19">
        <v>32</v>
      </c>
      <c r="E447" s="4" t="s">
        <v>963</v>
      </c>
    </row>
    <row r="448" spans="1:5" x14ac:dyDescent="0.25">
      <c r="A448" s="4" t="s">
        <v>165</v>
      </c>
      <c r="B448" s="4" t="s">
        <v>964</v>
      </c>
      <c r="C448" s="4" t="s">
        <v>282</v>
      </c>
      <c r="D448" s="19">
        <v>4118</v>
      </c>
      <c r="E448" s="4" t="s">
        <v>965</v>
      </c>
    </row>
    <row r="449" spans="1:5" x14ac:dyDescent="0.25">
      <c r="A449" s="4" t="s">
        <v>165</v>
      </c>
      <c r="B449" s="4" t="s">
        <v>966</v>
      </c>
      <c r="C449" s="4" t="s">
        <v>243</v>
      </c>
      <c r="D449" s="19">
        <v>116</v>
      </c>
      <c r="E449" s="4" t="s">
        <v>967</v>
      </c>
    </row>
    <row r="450" spans="1:5" x14ac:dyDescent="0.25">
      <c r="A450" s="4" t="s">
        <v>165</v>
      </c>
      <c r="B450" s="4" t="s">
        <v>968</v>
      </c>
      <c r="C450" s="4" t="s">
        <v>173</v>
      </c>
      <c r="D450" s="19">
        <v>840740</v>
      </c>
      <c r="E450" s="4" t="s">
        <v>969</v>
      </c>
    </row>
    <row r="451" spans="1:5" x14ac:dyDescent="0.25">
      <c r="A451" s="4" t="s">
        <v>165</v>
      </c>
      <c r="B451" s="4" t="s">
        <v>970</v>
      </c>
      <c r="C451" s="4" t="s">
        <v>248</v>
      </c>
      <c r="D451" s="19">
        <v>5152</v>
      </c>
      <c r="E451" s="4" t="s">
        <v>971</v>
      </c>
    </row>
    <row r="452" spans="1:5" x14ac:dyDescent="0.25">
      <c r="A452" s="4" t="s">
        <v>165</v>
      </c>
      <c r="B452" s="4" t="s">
        <v>972</v>
      </c>
      <c r="C452" s="4" t="s">
        <v>279</v>
      </c>
      <c r="D452" s="19">
        <v>32</v>
      </c>
      <c r="E452" s="4" t="s">
        <v>973</v>
      </c>
    </row>
    <row r="453" spans="1:5" x14ac:dyDescent="0.25">
      <c r="A453" s="4" t="s">
        <v>165</v>
      </c>
      <c r="B453" s="4" t="s">
        <v>974</v>
      </c>
      <c r="C453" s="4" t="s">
        <v>282</v>
      </c>
      <c r="D453" s="19">
        <v>4118</v>
      </c>
      <c r="E453" s="4" t="s">
        <v>975</v>
      </c>
    </row>
    <row r="454" spans="1:5" x14ac:dyDescent="0.25">
      <c r="A454" s="4" t="s">
        <v>165</v>
      </c>
      <c r="B454" s="4" t="s">
        <v>976</v>
      </c>
      <c r="C454" s="4" t="s">
        <v>243</v>
      </c>
      <c r="D454" s="19">
        <v>116</v>
      </c>
      <c r="E454" s="4" t="s">
        <v>977</v>
      </c>
    </row>
    <row r="455" spans="1:5" x14ac:dyDescent="0.25">
      <c r="A455" s="4" t="s">
        <v>165</v>
      </c>
      <c r="B455" s="4" t="s">
        <v>978</v>
      </c>
      <c r="C455" s="4" t="s">
        <v>173</v>
      </c>
      <c r="D455" s="19">
        <v>4208270</v>
      </c>
      <c r="E455" s="4" t="s">
        <v>979</v>
      </c>
    </row>
    <row r="456" spans="1:5" x14ac:dyDescent="0.25">
      <c r="A456" s="4" t="s">
        <v>165</v>
      </c>
      <c r="B456" s="4" t="s">
        <v>980</v>
      </c>
      <c r="C456" s="4" t="s">
        <v>248</v>
      </c>
      <c r="D456" s="19">
        <v>5152</v>
      </c>
      <c r="E456" s="4" t="s">
        <v>981</v>
      </c>
    </row>
    <row r="457" spans="1:5" x14ac:dyDescent="0.25">
      <c r="A457" s="4" t="s">
        <v>165</v>
      </c>
      <c r="B457" s="4" t="s">
        <v>982</v>
      </c>
      <c r="C457" s="4" t="s">
        <v>279</v>
      </c>
      <c r="D457" s="19">
        <v>32</v>
      </c>
      <c r="E457" s="4" t="s">
        <v>983</v>
      </c>
    </row>
    <row r="458" spans="1:5" x14ac:dyDescent="0.25">
      <c r="A458" s="4" t="s">
        <v>165</v>
      </c>
      <c r="B458" s="4" t="s">
        <v>984</v>
      </c>
      <c r="C458" s="4" t="s">
        <v>282</v>
      </c>
      <c r="D458" s="19">
        <v>4118</v>
      </c>
      <c r="E458" s="4" t="s">
        <v>985</v>
      </c>
    </row>
    <row r="459" spans="1:5" x14ac:dyDescent="0.25">
      <c r="A459" s="4" t="s">
        <v>165</v>
      </c>
      <c r="B459" s="4" t="s">
        <v>986</v>
      </c>
      <c r="C459" s="4" t="s">
        <v>243</v>
      </c>
      <c r="D459" s="19">
        <v>116</v>
      </c>
      <c r="E459" s="4" t="s">
        <v>987</v>
      </c>
    </row>
    <row r="460" spans="1:5" x14ac:dyDescent="0.25">
      <c r="A460" s="4" t="s">
        <v>165</v>
      </c>
      <c r="B460" s="4" t="s">
        <v>988</v>
      </c>
      <c r="C460" s="4" t="s">
        <v>173</v>
      </c>
      <c r="D460" s="19">
        <v>24326073</v>
      </c>
      <c r="E460" s="4" t="s">
        <v>989</v>
      </c>
    </row>
    <row r="461" spans="1:5" x14ac:dyDescent="0.25">
      <c r="A461" s="4" t="s">
        <v>165</v>
      </c>
      <c r="B461" s="4" t="s">
        <v>990</v>
      </c>
      <c r="C461" s="4" t="s">
        <v>248</v>
      </c>
      <c r="D461" s="19">
        <v>15392</v>
      </c>
      <c r="E461" s="4" t="s">
        <v>991</v>
      </c>
    </row>
    <row r="462" spans="1:5" x14ac:dyDescent="0.25">
      <c r="A462" s="4" t="s">
        <v>165</v>
      </c>
      <c r="B462" s="4" t="s">
        <v>992</v>
      </c>
      <c r="C462" s="4" t="s">
        <v>279</v>
      </c>
      <c r="D462" s="19">
        <v>32</v>
      </c>
      <c r="E462" s="4" t="s">
        <v>993</v>
      </c>
    </row>
    <row r="463" spans="1:5" x14ac:dyDescent="0.25">
      <c r="A463" s="4" t="s">
        <v>165</v>
      </c>
      <c r="B463" s="4" t="s">
        <v>994</v>
      </c>
      <c r="C463" s="4" t="s">
        <v>282</v>
      </c>
      <c r="D463" s="19">
        <v>69654</v>
      </c>
      <c r="E463" s="4" t="s">
        <v>995</v>
      </c>
    </row>
    <row r="464" spans="1:5" x14ac:dyDescent="0.25">
      <c r="A464" s="4" t="s">
        <v>165</v>
      </c>
      <c r="B464" s="4" t="s">
        <v>996</v>
      </c>
      <c r="C464" s="4" t="s">
        <v>243</v>
      </c>
      <c r="D464" s="19">
        <v>116</v>
      </c>
      <c r="E464" s="4" t="s">
        <v>997</v>
      </c>
    </row>
    <row r="465" spans="1:5" x14ac:dyDescent="0.25">
      <c r="A465" s="4" t="s">
        <v>165</v>
      </c>
      <c r="B465" s="4" t="s">
        <v>998</v>
      </c>
      <c r="C465" s="4" t="s">
        <v>173</v>
      </c>
      <c r="D465" s="19">
        <v>137228722</v>
      </c>
      <c r="E465" s="4" t="s">
        <v>999</v>
      </c>
    </row>
    <row r="466" spans="1:5" x14ac:dyDescent="0.25">
      <c r="A466" s="4" t="s">
        <v>165</v>
      </c>
      <c r="B466" s="4" t="s">
        <v>1000</v>
      </c>
      <c r="C466" s="4" t="s">
        <v>248</v>
      </c>
      <c r="D466" s="19">
        <v>5152</v>
      </c>
      <c r="E466" s="4" t="s">
        <v>1001</v>
      </c>
    </row>
    <row r="467" spans="1:5" x14ac:dyDescent="0.25">
      <c r="A467" s="4" t="s">
        <v>165</v>
      </c>
      <c r="B467" s="4" t="s">
        <v>1002</v>
      </c>
      <c r="C467" s="4" t="s">
        <v>279</v>
      </c>
      <c r="D467" s="19">
        <v>32</v>
      </c>
      <c r="E467" s="4" t="s">
        <v>1003</v>
      </c>
    </row>
    <row r="468" spans="1:5" x14ac:dyDescent="0.25">
      <c r="A468" s="4" t="s">
        <v>165</v>
      </c>
      <c r="B468" s="4" t="s">
        <v>1004</v>
      </c>
      <c r="C468" s="4" t="s">
        <v>282</v>
      </c>
      <c r="D468" s="19">
        <v>12310</v>
      </c>
      <c r="E468" s="4" t="s">
        <v>1005</v>
      </c>
    </row>
    <row r="469" spans="1:5" x14ac:dyDescent="0.25">
      <c r="A469" s="4" t="s">
        <v>165</v>
      </c>
      <c r="B469" s="4" t="s">
        <v>1006</v>
      </c>
      <c r="C469" s="4" t="s">
        <v>243</v>
      </c>
      <c r="D469" s="19">
        <v>116</v>
      </c>
      <c r="E469" s="4" t="s">
        <v>1007</v>
      </c>
    </row>
    <row r="470" spans="1:5" x14ac:dyDescent="0.25">
      <c r="A470" s="4" t="s">
        <v>165</v>
      </c>
      <c r="B470" s="4" t="s">
        <v>1008</v>
      </c>
      <c r="C470" s="4" t="s">
        <v>173</v>
      </c>
      <c r="D470" s="19">
        <v>27187</v>
      </c>
      <c r="E470" s="4" t="s">
        <v>1009</v>
      </c>
    </row>
    <row r="471" spans="1:5" x14ac:dyDescent="0.25">
      <c r="A471" s="4" t="s">
        <v>165</v>
      </c>
      <c r="B471" s="4" t="s">
        <v>1010</v>
      </c>
      <c r="C471" s="4" t="s">
        <v>248</v>
      </c>
      <c r="D471" s="19">
        <v>5152</v>
      </c>
      <c r="E471" s="4" t="s">
        <v>1011</v>
      </c>
    </row>
    <row r="472" spans="1:5" x14ac:dyDescent="0.25">
      <c r="A472" s="4" t="s">
        <v>165</v>
      </c>
      <c r="B472" s="4" t="s">
        <v>1012</v>
      </c>
      <c r="C472" s="4" t="s">
        <v>279</v>
      </c>
      <c r="D472" s="19">
        <v>32</v>
      </c>
      <c r="E472" s="4" t="s">
        <v>1013</v>
      </c>
    </row>
    <row r="473" spans="1:5" x14ac:dyDescent="0.25">
      <c r="A473" s="4" t="s">
        <v>165</v>
      </c>
      <c r="B473" s="4" t="s">
        <v>1014</v>
      </c>
      <c r="C473" s="4" t="s">
        <v>282</v>
      </c>
      <c r="D473" s="19">
        <v>4118</v>
      </c>
      <c r="E473" s="4" t="s">
        <v>1015</v>
      </c>
    </row>
    <row r="474" spans="1:5" x14ac:dyDescent="0.25">
      <c r="A474" s="4" t="s">
        <v>165</v>
      </c>
      <c r="B474" s="4" t="s">
        <v>1016</v>
      </c>
      <c r="C474" s="4" t="s">
        <v>243</v>
      </c>
      <c r="D474" s="19">
        <v>116</v>
      </c>
      <c r="E474" s="4" t="s">
        <v>1017</v>
      </c>
    </row>
    <row r="475" spans="1:5" x14ac:dyDescent="0.25">
      <c r="A475" s="4" t="s">
        <v>165</v>
      </c>
      <c r="B475" s="4" t="s">
        <v>1018</v>
      </c>
      <c r="C475" s="4" t="s">
        <v>173</v>
      </c>
      <c r="D475" s="19">
        <v>22641856</v>
      </c>
      <c r="E475" s="4" t="s">
        <v>1019</v>
      </c>
    </row>
    <row r="476" spans="1:5" x14ac:dyDescent="0.25">
      <c r="A476" s="4" t="s">
        <v>165</v>
      </c>
      <c r="B476" s="4" t="s">
        <v>1020</v>
      </c>
      <c r="C476" s="4" t="s">
        <v>248</v>
      </c>
      <c r="D476" s="19">
        <v>66592</v>
      </c>
      <c r="E476" s="4" t="s">
        <v>1021</v>
      </c>
    </row>
    <row r="477" spans="1:5" x14ac:dyDescent="0.25">
      <c r="A477" s="4" t="s">
        <v>165</v>
      </c>
      <c r="B477" s="4" t="s">
        <v>1022</v>
      </c>
      <c r="C477" s="4" t="s">
        <v>279</v>
      </c>
      <c r="D477" s="19">
        <v>32</v>
      </c>
      <c r="E477" s="4" t="s">
        <v>1023</v>
      </c>
    </row>
    <row r="478" spans="1:5" x14ac:dyDescent="0.25">
      <c r="A478" s="4" t="s">
        <v>165</v>
      </c>
      <c r="B478" s="4" t="s">
        <v>1024</v>
      </c>
      <c r="C478" s="4" t="s">
        <v>282</v>
      </c>
      <c r="D478" s="19">
        <v>217110</v>
      </c>
      <c r="E478" s="4" t="s">
        <v>1025</v>
      </c>
    </row>
    <row r="479" spans="1:5" x14ac:dyDescent="0.25">
      <c r="A479" s="4" t="s">
        <v>165</v>
      </c>
      <c r="B479" s="4" t="s">
        <v>1026</v>
      </c>
      <c r="C479" s="4" t="s">
        <v>243</v>
      </c>
      <c r="D479" s="19">
        <v>116</v>
      </c>
      <c r="E479" s="4" t="s">
        <v>1027</v>
      </c>
    </row>
    <row r="480" spans="1:5" x14ac:dyDescent="0.25">
      <c r="A480" s="4" t="s">
        <v>165</v>
      </c>
      <c r="B480" s="4" t="s">
        <v>1028</v>
      </c>
      <c r="C480" s="4" t="s">
        <v>173</v>
      </c>
      <c r="D480" s="19">
        <v>9127082</v>
      </c>
      <c r="E480" s="4" t="s">
        <v>1029</v>
      </c>
    </row>
    <row r="481" spans="1:5" x14ac:dyDescent="0.25">
      <c r="A481" s="4" t="s">
        <v>165</v>
      </c>
      <c r="B481" s="4" t="s">
        <v>1030</v>
      </c>
      <c r="C481" s="4" t="s">
        <v>248</v>
      </c>
      <c r="D481" s="19">
        <v>15392</v>
      </c>
      <c r="E481" s="4" t="s">
        <v>1031</v>
      </c>
    </row>
    <row r="482" spans="1:5" x14ac:dyDescent="0.25">
      <c r="A482" s="4" t="s">
        <v>165</v>
      </c>
      <c r="B482" s="4" t="s">
        <v>1032</v>
      </c>
      <c r="C482" s="4" t="s">
        <v>279</v>
      </c>
      <c r="D482" s="19">
        <v>32</v>
      </c>
      <c r="E482" s="4" t="s">
        <v>1033</v>
      </c>
    </row>
    <row r="483" spans="1:5" x14ac:dyDescent="0.25">
      <c r="A483" s="4" t="s">
        <v>165</v>
      </c>
      <c r="B483" s="4" t="s">
        <v>1034</v>
      </c>
      <c r="C483" s="4" t="s">
        <v>282</v>
      </c>
      <c r="D483" s="19">
        <v>57366</v>
      </c>
      <c r="E483" s="4" t="s">
        <v>1035</v>
      </c>
    </row>
    <row r="484" spans="1:5" x14ac:dyDescent="0.25">
      <c r="A484" s="4" t="s">
        <v>165</v>
      </c>
      <c r="B484" s="4" t="s">
        <v>1036</v>
      </c>
      <c r="C484" s="4" t="s">
        <v>243</v>
      </c>
      <c r="D484" s="19">
        <v>116</v>
      </c>
      <c r="E484" s="4" t="s">
        <v>1037</v>
      </c>
    </row>
    <row r="485" spans="1:5" x14ac:dyDescent="0.25">
      <c r="A485" s="4" t="s">
        <v>165</v>
      </c>
      <c r="B485" s="4" t="s">
        <v>1038</v>
      </c>
      <c r="C485" s="4" t="s">
        <v>173</v>
      </c>
      <c r="D485" s="19">
        <v>572530</v>
      </c>
      <c r="E485" s="4" t="s">
        <v>1039</v>
      </c>
    </row>
    <row r="486" spans="1:5" x14ac:dyDescent="0.25">
      <c r="A486" s="4" t="s">
        <v>165</v>
      </c>
      <c r="B486" s="4" t="s">
        <v>1040</v>
      </c>
      <c r="C486" s="4" t="s">
        <v>248</v>
      </c>
      <c r="D486" s="19">
        <v>5152</v>
      </c>
      <c r="E486" s="4" t="s">
        <v>1041</v>
      </c>
    </row>
    <row r="487" spans="1:5" x14ac:dyDescent="0.25">
      <c r="A487" s="4" t="s">
        <v>165</v>
      </c>
      <c r="B487" s="4" t="s">
        <v>1042</v>
      </c>
      <c r="C487" s="4" t="s">
        <v>279</v>
      </c>
      <c r="D487" s="19">
        <v>32</v>
      </c>
      <c r="E487" s="4" t="s">
        <v>1043</v>
      </c>
    </row>
    <row r="488" spans="1:5" x14ac:dyDescent="0.25">
      <c r="A488" s="4" t="s">
        <v>165</v>
      </c>
      <c r="B488" s="4" t="s">
        <v>1044</v>
      </c>
      <c r="C488" s="4" t="s">
        <v>282</v>
      </c>
      <c r="D488" s="19">
        <v>4118</v>
      </c>
      <c r="E488" s="4" t="s">
        <v>1045</v>
      </c>
    </row>
    <row r="489" spans="1:5" x14ac:dyDescent="0.25">
      <c r="A489" s="4" t="s">
        <v>165</v>
      </c>
      <c r="B489" s="4" t="s">
        <v>1046</v>
      </c>
      <c r="C489" s="4" t="s">
        <v>243</v>
      </c>
      <c r="D489" s="19">
        <v>116</v>
      </c>
      <c r="E489" s="4" t="s">
        <v>1047</v>
      </c>
    </row>
    <row r="490" spans="1:5" x14ac:dyDescent="0.25">
      <c r="A490" s="4" t="s">
        <v>165</v>
      </c>
      <c r="B490" s="4" t="s">
        <v>1048</v>
      </c>
      <c r="C490" s="4" t="s">
        <v>173</v>
      </c>
      <c r="D490" s="19">
        <v>65720883</v>
      </c>
      <c r="E490" s="4" t="s">
        <v>1049</v>
      </c>
    </row>
    <row r="491" spans="1:5" x14ac:dyDescent="0.25">
      <c r="A491" s="4" t="s">
        <v>165</v>
      </c>
      <c r="B491" s="4" t="s">
        <v>1050</v>
      </c>
      <c r="C491" s="4" t="s">
        <v>248</v>
      </c>
      <c r="D491" s="19">
        <v>5152</v>
      </c>
      <c r="E491" s="4" t="s">
        <v>1051</v>
      </c>
    </row>
    <row r="492" spans="1:5" x14ac:dyDescent="0.25">
      <c r="A492" s="4" t="s">
        <v>165</v>
      </c>
      <c r="B492" s="4" t="s">
        <v>1052</v>
      </c>
      <c r="C492" s="4" t="s">
        <v>279</v>
      </c>
      <c r="D492" s="19">
        <v>32</v>
      </c>
      <c r="E492" s="4" t="s">
        <v>1053</v>
      </c>
    </row>
    <row r="493" spans="1:5" x14ac:dyDescent="0.25">
      <c r="A493" s="4" t="s">
        <v>165</v>
      </c>
      <c r="B493" s="4" t="s">
        <v>1054</v>
      </c>
      <c r="C493" s="4" t="s">
        <v>282</v>
      </c>
      <c r="D493" s="19">
        <v>4118</v>
      </c>
      <c r="E493" s="4" t="s">
        <v>1055</v>
      </c>
    </row>
    <row r="494" spans="1:5" x14ac:dyDescent="0.25">
      <c r="A494" s="4" t="s">
        <v>165</v>
      </c>
      <c r="B494" s="4" t="s">
        <v>1056</v>
      </c>
      <c r="C494" s="4" t="s">
        <v>243</v>
      </c>
      <c r="D494" s="19">
        <v>116</v>
      </c>
      <c r="E494" s="4" t="s">
        <v>1057</v>
      </c>
    </row>
    <row r="495" spans="1:5" x14ac:dyDescent="0.25">
      <c r="A495" s="4" t="s">
        <v>165</v>
      </c>
      <c r="B495" s="4" t="s">
        <v>1058</v>
      </c>
      <c r="C495" s="4" t="s">
        <v>173</v>
      </c>
      <c r="D495" s="19">
        <v>77897</v>
      </c>
      <c r="E495" s="4" t="s">
        <v>1059</v>
      </c>
    </row>
    <row r="496" spans="1:5" x14ac:dyDescent="0.25">
      <c r="A496" s="4" t="s">
        <v>165</v>
      </c>
      <c r="B496" s="4" t="s">
        <v>1060</v>
      </c>
      <c r="C496" s="4" t="s">
        <v>248</v>
      </c>
      <c r="D496" s="19">
        <v>5152</v>
      </c>
      <c r="E496" s="4" t="s">
        <v>1061</v>
      </c>
    </row>
    <row r="497" spans="1:5" x14ac:dyDescent="0.25">
      <c r="A497" s="4" t="s">
        <v>165</v>
      </c>
      <c r="B497" s="4" t="s">
        <v>1062</v>
      </c>
      <c r="C497" s="4" t="s">
        <v>279</v>
      </c>
      <c r="D497" s="19">
        <v>32</v>
      </c>
      <c r="E497" s="4" t="s">
        <v>1063</v>
      </c>
    </row>
    <row r="498" spans="1:5" x14ac:dyDescent="0.25">
      <c r="A498" s="4" t="s">
        <v>165</v>
      </c>
      <c r="B498" s="4" t="s">
        <v>1064</v>
      </c>
      <c r="C498" s="4" t="s">
        <v>282</v>
      </c>
      <c r="D498" s="19">
        <v>4118</v>
      </c>
      <c r="E498" s="4" t="s">
        <v>1065</v>
      </c>
    </row>
    <row r="499" spans="1:5" x14ac:dyDescent="0.25">
      <c r="A499" s="4" t="s">
        <v>165</v>
      </c>
      <c r="B499" s="4" t="s">
        <v>1066</v>
      </c>
      <c r="C499" s="4" t="s">
        <v>243</v>
      </c>
      <c r="D499" s="19">
        <v>116</v>
      </c>
      <c r="E499" s="4" t="s">
        <v>1067</v>
      </c>
    </row>
    <row r="500" spans="1:5" x14ac:dyDescent="0.25">
      <c r="A500" s="4" t="s">
        <v>165</v>
      </c>
      <c r="B500" s="4" t="s">
        <v>1068</v>
      </c>
      <c r="C500" s="4" t="s">
        <v>173</v>
      </c>
      <c r="D500" s="19">
        <v>652758</v>
      </c>
      <c r="E500" s="4" t="s">
        <v>1069</v>
      </c>
    </row>
    <row r="501" spans="1:5" x14ac:dyDescent="0.25">
      <c r="A501" s="4" t="s">
        <v>165</v>
      </c>
      <c r="B501" s="4" t="s">
        <v>1070</v>
      </c>
      <c r="C501" s="4" t="s">
        <v>248</v>
      </c>
      <c r="D501" s="19">
        <v>5152</v>
      </c>
      <c r="E501" s="4" t="s">
        <v>1071</v>
      </c>
    </row>
    <row r="502" spans="1:5" x14ac:dyDescent="0.25">
      <c r="A502" s="4" t="s">
        <v>165</v>
      </c>
      <c r="B502" s="4" t="s">
        <v>1072</v>
      </c>
      <c r="C502" s="4" t="s">
        <v>279</v>
      </c>
      <c r="D502" s="19">
        <v>32</v>
      </c>
      <c r="E502" s="4" t="s">
        <v>1073</v>
      </c>
    </row>
    <row r="503" spans="1:5" x14ac:dyDescent="0.25">
      <c r="A503" s="4" t="s">
        <v>165</v>
      </c>
      <c r="B503" s="4" t="s">
        <v>1074</v>
      </c>
      <c r="C503" s="4" t="s">
        <v>282</v>
      </c>
      <c r="D503" s="19">
        <v>4118</v>
      </c>
      <c r="E503" s="4" t="s">
        <v>1075</v>
      </c>
    </row>
    <row r="504" spans="1:5" x14ac:dyDescent="0.25">
      <c r="A504" s="4" t="s">
        <v>165</v>
      </c>
      <c r="B504" s="4" t="s">
        <v>1076</v>
      </c>
      <c r="C504" s="4" t="s">
        <v>243</v>
      </c>
      <c r="D504" s="19">
        <v>116</v>
      </c>
      <c r="E504" s="4" t="s">
        <v>1077</v>
      </c>
    </row>
    <row r="505" spans="1:5" x14ac:dyDescent="0.25">
      <c r="A505" s="4" t="s">
        <v>165</v>
      </c>
      <c r="B505" s="4" t="s">
        <v>1078</v>
      </c>
      <c r="C505" s="4" t="s">
        <v>173</v>
      </c>
      <c r="D505" s="19">
        <v>9139902</v>
      </c>
      <c r="E505" s="4" t="s">
        <v>1079</v>
      </c>
    </row>
    <row r="506" spans="1:5" x14ac:dyDescent="0.25">
      <c r="A506" s="4" t="s">
        <v>165</v>
      </c>
      <c r="B506" s="4" t="s">
        <v>1080</v>
      </c>
      <c r="C506" s="4" t="s">
        <v>248</v>
      </c>
      <c r="D506" s="19">
        <v>5152</v>
      </c>
      <c r="E506" s="4" t="s">
        <v>1081</v>
      </c>
    </row>
    <row r="507" spans="1:5" x14ac:dyDescent="0.25">
      <c r="A507" s="4" t="s">
        <v>165</v>
      </c>
      <c r="B507" s="4" t="s">
        <v>1082</v>
      </c>
      <c r="C507" s="4" t="s">
        <v>279</v>
      </c>
      <c r="D507" s="19">
        <v>32</v>
      </c>
      <c r="E507" s="4" t="s">
        <v>1083</v>
      </c>
    </row>
    <row r="508" spans="1:5" x14ac:dyDescent="0.25">
      <c r="A508" s="4" t="s">
        <v>165</v>
      </c>
      <c r="B508" s="4" t="s">
        <v>1084</v>
      </c>
      <c r="C508" s="4" t="s">
        <v>282</v>
      </c>
      <c r="D508" s="19">
        <v>4118</v>
      </c>
      <c r="E508" s="4" t="s">
        <v>1085</v>
      </c>
    </row>
    <row r="509" spans="1:5" x14ac:dyDescent="0.25">
      <c r="A509" s="4" t="s">
        <v>165</v>
      </c>
      <c r="B509" s="4" t="s">
        <v>1086</v>
      </c>
      <c r="C509" s="4" t="s">
        <v>243</v>
      </c>
      <c r="D509" s="19">
        <v>116</v>
      </c>
      <c r="E509" s="4" t="s">
        <v>1087</v>
      </c>
    </row>
    <row r="510" spans="1:5" x14ac:dyDescent="0.25">
      <c r="A510" s="4" t="s">
        <v>165</v>
      </c>
      <c r="B510" s="4" t="s">
        <v>1088</v>
      </c>
      <c r="C510" s="4" t="s">
        <v>173</v>
      </c>
      <c r="D510" s="19">
        <v>36485</v>
      </c>
      <c r="E510" s="4" t="s">
        <v>1089</v>
      </c>
    </row>
    <row r="511" spans="1:5" x14ac:dyDescent="0.25">
      <c r="A511" s="4" t="s">
        <v>165</v>
      </c>
      <c r="B511" s="4" t="s">
        <v>1090</v>
      </c>
      <c r="C511" s="4" t="s">
        <v>248</v>
      </c>
      <c r="D511" s="19">
        <v>5152</v>
      </c>
      <c r="E511" s="4" t="s">
        <v>1091</v>
      </c>
    </row>
    <row r="512" spans="1:5" x14ac:dyDescent="0.25">
      <c r="A512" s="4" t="s">
        <v>165</v>
      </c>
      <c r="B512" s="4" t="s">
        <v>1092</v>
      </c>
      <c r="C512" s="4" t="s">
        <v>279</v>
      </c>
      <c r="D512" s="19">
        <v>32</v>
      </c>
      <c r="E512" s="4" t="s">
        <v>1093</v>
      </c>
    </row>
    <row r="513" spans="1:5" x14ac:dyDescent="0.25">
      <c r="A513" s="4" t="s">
        <v>165</v>
      </c>
      <c r="B513" s="4" t="s">
        <v>1094</v>
      </c>
      <c r="C513" s="4" t="s">
        <v>282</v>
      </c>
      <c r="D513" s="19">
        <v>4118</v>
      </c>
      <c r="E513" s="4" t="s">
        <v>1095</v>
      </c>
    </row>
    <row r="514" spans="1:5" x14ac:dyDescent="0.25">
      <c r="A514" s="4" t="s">
        <v>165</v>
      </c>
      <c r="B514" s="4" t="s">
        <v>1096</v>
      </c>
      <c r="C514" s="4" t="s">
        <v>243</v>
      </c>
      <c r="D514" s="19">
        <v>124</v>
      </c>
      <c r="E514" s="4" t="s">
        <v>1097</v>
      </c>
    </row>
    <row r="515" spans="1:5" x14ac:dyDescent="0.25">
      <c r="A515" s="4" t="s">
        <v>165</v>
      </c>
      <c r="B515" s="4" t="s">
        <v>1098</v>
      </c>
      <c r="C515" s="4" t="s">
        <v>173</v>
      </c>
      <c r="D515" s="19">
        <v>132342</v>
      </c>
      <c r="E515" s="4" t="s">
        <v>1099</v>
      </c>
    </row>
    <row r="516" spans="1:5" x14ac:dyDescent="0.25">
      <c r="A516" s="4" t="s">
        <v>165</v>
      </c>
      <c r="B516" s="4" t="s">
        <v>1100</v>
      </c>
      <c r="C516" s="4" t="s">
        <v>248</v>
      </c>
      <c r="D516" s="19">
        <v>5152</v>
      </c>
      <c r="E516" s="4" t="s">
        <v>1101</v>
      </c>
    </row>
    <row r="517" spans="1:5" x14ac:dyDescent="0.25">
      <c r="A517" s="4" t="s">
        <v>165</v>
      </c>
      <c r="B517" s="4" t="s">
        <v>1102</v>
      </c>
      <c r="C517" s="4" t="s">
        <v>279</v>
      </c>
      <c r="D517" s="19">
        <v>32</v>
      </c>
      <c r="E517" s="4" t="s">
        <v>1103</v>
      </c>
    </row>
    <row r="518" spans="1:5" x14ac:dyDescent="0.25">
      <c r="A518" s="4" t="s">
        <v>165</v>
      </c>
      <c r="B518" s="4" t="s">
        <v>1104</v>
      </c>
      <c r="C518" s="4" t="s">
        <v>282</v>
      </c>
      <c r="D518" s="19">
        <v>4118</v>
      </c>
      <c r="E518" s="4" t="s">
        <v>1105</v>
      </c>
    </row>
    <row r="519" spans="1:5" x14ac:dyDescent="0.25">
      <c r="A519" s="4" t="s">
        <v>165</v>
      </c>
      <c r="B519" s="4" t="s">
        <v>1106</v>
      </c>
      <c r="C519" s="4" t="s">
        <v>243</v>
      </c>
      <c r="D519" s="19">
        <v>116</v>
      </c>
      <c r="E519" s="4" t="s">
        <v>1107</v>
      </c>
    </row>
    <row r="520" spans="1:5" x14ac:dyDescent="0.25">
      <c r="A520" s="4" t="s">
        <v>165</v>
      </c>
      <c r="B520" s="4" t="s">
        <v>1108</v>
      </c>
      <c r="C520" s="4" t="s">
        <v>173</v>
      </c>
      <c r="D520" s="19">
        <v>209085</v>
      </c>
      <c r="E520" s="4" t="s">
        <v>1109</v>
      </c>
    </row>
    <row r="521" spans="1:5" x14ac:dyDescent="0.25">
      <c r="A521" s="4" t="s">
        <v>165</v>
      </c>
      <c r="B521" s="4" t="s">
        <v>1110</v>
      </c>
      <c r="C521" s="4" t="s">
        <v>248</v>
      </c>
      <c r="D521" s="19">
        <v>5152</v>
      </c>
      <c r="E521" s="4" t="s">
        <v>1111</v>
      </c>
    </row>
    <row r="522" spans="1:5" x14ac:dyDescent="0.25">
      <c r="A522" s="4" t="s">
        <v>165</v>
      </c>
      <c r="B522" s="4" t="s">
        <v>1112</v>
      </c>
      <c r="C522" s="4" t="s">
        <v>279</v>
      </c>
      <c r="D522" s="19">
        <v>32</v>
      </c>
      <c r="E522" s="4" t="s">
        <v>1113</v>
      </c>
    </row>
    <row r="523" spans="1:5" x14ac:dyDescent="0.25">
      <c r="A523" s="4" t="s">
        <v>165</v>
      </c>
      <c r="B523" s="4" t="s">
        <v>1114</v>
      </c>
      <c r="C523" s="4" t="s">
        <v>282</v>
      </c>
      <c r="D523" s="19">
        <v>4118</v>
      </c>
      <c r="E523" s="4" t="s">
        <v>1115</v>
      </c>
    </row>
    <row r="524" spans="1:5" x14ac:dyDescent="0.25">
      <c r="A524" s="4" t="s">
        <v>165</v>
      </c>
      <c r="B524" s="4" t="s">
        <v>1116</v>
      </c>
      <c r="C524" s="4" t="s">
        <v>243</v>
      </c>
      <c r="D524" s="19">
        <v>116</v>
      </c>
      <c r="E524" s="4" t="s">
        <v>1117</v>
      </c>
    </row>
    <row r="525" spans="1:5" x14ac:dyDescent="0.25">
      <c r="A525" s="4" t="s">
        <v>165</v>
      </c>
      <c r="B525" s="4" t="s">
        <v>1118</v>
      </c>
      <c r="C525" s="4" t="s">
        <v>173</v>
      </c>
      <c r="D525" s="19">
        <v>843497</v>
      </c>
      <c r="E525" s="4" t="s">
        <v>1119</v>
      </c>
    </row>
    <row r="526" spans="1:5" x14ac:dyDescent="0.25">
      <c r="A526" s="4" t="s">
        <v>165</v>
      </c>
      <c r="B526" s="4" t="s">
        <v>1120</v>
      </c>
      <c r="C526" s="4" t="s">
        <v>248</v>
      </c>
      <c r="D526" s="19">
        <v>5152</v>
      </c>
      <c r="E526" s="4" t="s">
        <v>1121</v>
      </c>
    </row>
    <row r="527" spans="1:5" x14ac:dyDescent="0.25">
      <c r="A527" s="4" t="s">
        <v>165</v>
      </c>
      <c r="B527" s="4" t="s">
        <v>1122</v>
      </c>
      <c r="C527" s="4" t="s">
        <v>279</v>
      </c>
      <c r="D527" s="19">
        <v>32</v>
      </c>
      <c r="E527" s="4" t="s">
        <v>1123</v>
      </c>
    </row>
    <row r="528" spans="1:5" x14ac:dyDescent="0.25">
      <c r="A528" s="4" t="s">
        <v>165</v>
      </c>
      <c r="B528" s="4" t="s">
        <v>1124</v>
      </c>
      <c r="C528" s="4" t="s">
        <v>282</v>
      </c>
      <c r="D528" s="19">
        <v>4118</v>
      </c>
      <c r="E528" s="4" t="s">
        <v>1125</v>
      </c>
    </row>
    <row r="529" spans="1:5" x14ac:dyDescent="0.25">
      <c r="A529" s="4" t="s">
        <v>165</v>
      </c>
      <c r="B529" s="4" t="s">
        <v>1126</v>
      </c>
      <c r="C529" s="4" t="s">
        <v>243</v>
      </c>
      <c r="D529" s="19">
        <v>116</v>
      </c>
      <c r="E529" s="4" t="s">
        <v>1127</v>
      </c>
    </row>
    <row r="530" spans="1:5" x14ac:dyDescent="0.25">
      <c r="A530" s="4" t="s">
        <v>165</v>
      </c>
      <c r="B530" s="4" t="s">
        <v>1128</v>
      </c>
      <c r="C530" s="4" t="s">
        <v>173</v>
      </c>
      <c r="D530" s="19">
        <v>4744278</v>
      </c>
      <c r="E530" s="4" t="s">
        <v>1129</v>
      </c>
    </row>
    <row r="531" spans="1:5" x14ac:dyDescent="0.25">
      <c r="A531" s="4" t="s">
        <v>165</v>
      </c>
      <c r="B531" s="4" t="s">
        <v>1130</v>
      </c>
      <c r="C531" s="4" t="s">
        <v>248</v>
      </c>
      <c r="D531" s="19">
        <v>5152</v>
      </c>
      <c r="E531" s="4" t="s">
        <v>1131</v>
      </c>
    </row>
    <row r="532" spans="1:5" x14ac:dyDescent="0.25">
      <c r="A532" s="4" t="s">
        <v>165</v>
      </c>
      <c r="B532" s="4" t="s">
        <v>1132</v>
      </c>
      <c r="C532" s="4" t="s">
        <v>279</v>
      </c>
      <c r="D532" s="19">
        <v>32</v>
      </c>
      <c r="E532" s="4" t="s">
        <v>1133</v>
      </c>
    </row>
    <row r="533" spans="1:5" x14ac:dyDescent="0.25">
      <c r="A533" s="4" t="s">
        <v>165</v>
      </c>
      <c r="B533" s="4" t="s">
        <v>1134</v>
      </c>
      <c r="C533" s="4" t="s">
        <v>282</v>
      </c>
      <c r="D533" s="19">
        <v>4118</v>
      </c>
      <c r="E533" s="4" t="s">
        <v>1135</v>
      </c>
    </row>
    <row r="534" spans="1:5" x14ac:dyDescent="0.25">
      <c r="A534" s="4" t="s">
        <v>165</v>
      </c>
      <c r="B534" s="4" t="s">
        <v>1136</v>
      </c>
      <c r="C534" s="4" t="s">
        <v>243</v>
      </c>
      <c r="D534" s="19">
        <v>124</v>
      </c>
      <c r="E534" s="4" t="s">
        <v>1137</v>
      </c>
    </row>
    <row r="535" spans="1:5" x14ac:dyDescent="0.25">
      <c r="A535" s="4" t="s">
        <v>165</v>
      </c>
      <c r="B535" s="4" t="s">
        <v>1138</v>
      </c>
      <c r="C535" s="4" t="s">
        <v>173</v>
      </c>
      <c r="D535" s="19">
        <v>8991552</v>
      </c>
      <c r="E535" s="4" t="s">
        <v>1139</v>
      </c>
    </row>
    <row r="536" spans="1:5" x14ac:dyDescent="0.25">
      <c r="A536" s="4" t="s">
        <v>165</v>
      </c>
      <c r="B536" s="4" t="s">
        <v>1140</v>
      </c>
      <c r="C536" s="4" t="s">
        <v>248</v>
      </c>
      <c r="D536" s="19">
        <v>5152</v>
      </c>
      <c r="E536" s="4" t="s">
        <v>1141</v>
      </c>
    </row>
    <row r="537" spans="1:5" x14ac:dyDescent="0.25">
      <c r="A537" s="4" t="s">
        <v>165</v>
      </c>
      <c r="B537" s="4" t="s">
        <v>1142</v>
      </c>
      <c r="C537" s="4" t="s">
        <v>279</v>
      </c>
      <c r="D537" s="19">
        <v>32</v>
      </c>
      <c r="E537" s="4" t="s">
        <v>1143</v>
      </c>
    </row>
    <row r="538" spans="1:5" x14ac:dyDescent="0.25">
      <c r="A538" s="4" t="s">
        <v>165</v>
      </c>
      <c r="B538" s="4" t="s">
        <v>1144</v>
      </c>
      <c r="C538" s="4" t="s">
        <v>282</v>
      </c>
      <c r="D538" s="19">
        <v>4118</v>
      </c>
      <c r="E538" s="4" t="s">
        <v>1145</v>
      </c>
    </row>
    <row r="539" spans="1:5" x14ac:dyDescent="0.25">
      <c r="A539" s="4" t="s">
        <v>165</v>
      </c>
      <c r="B539" s="4" t="s">
        <v>1146</v>
      </c>
      <c r="C539" s="4" t="s">
        <v>243</v>
      </c>
      <c r="D539" s="19">
        <v>116</v>
      </c>
      <c r="E539" s="4" t="s">
        <v>1147</v>
      </c>
    </row>
    <row r="540" spans="1:5" x14ac:dyDescent="0.25">
      <c r="A540" s="4" t="s">
        <v>165</v>
      </c>
      <c r="B540" s="4" t="s">
        <v>1148</v>
      </c>
      <c r="C540" s="4" t="s">
        <v>173</v>
      </c>
      <c r="D540" s="19">
        <v>462528</v>
      </c>
      <c r="E540" s="4" t="s">
        <v>1149</v>
      </c>
    </row>
    <row r="541" spans="1:5" x14ac:dyDescent="0.25">
      <c r="A541" s="4" t="s">
        <v>165</v>
      </c>
      <c r="B541" s="4" t="s">
        <v>1150</v>
      </c>
      <c r="C541" s="4" t="s">
        <v>248</v>
      </c>
      <c r="D541" s="19">
        <v>5152</v>
      </c>
      <c r="E541" s="4" t="s">
        <v>1151</v>
      </c>
    </row>
    <row r="542" spans="1:5" x14ac:dyDescent="0.25">
      <c r="A542" s="4" t="s">
        <v>165</v>
      </c>
      <c r="B542" s="4" t="s">
        <v>1152</v>
      </c>
      <c r="C542" s="4" t="s">
        <v>279</v>
      </c>
      <c r="D542" s="19">
        <v>32</v>
      </c>
      <c r="E542" s="4" t="s">
        <v>1153</v>
      </c>
    </row>
    <row r="543" spans="1:5" x14ac:dyDescent="0.25">
      <c r="A543" s="4" t="s">
        <v>165</v>
      </c>
      <c r="B543" s="4" t="s">
        <v>1154</v>
      </c>
      <c r="C543" s="4" t="s">
        <v>282</v>
      </c>
      <c r="D543" s="19">
        <v>4118</v>
      </c>
      <c r="E543" s="4" t="s">
        <v>1155</v>
      </c>
    </row>
    <row r="544" spans="1:5" x14ac:dyDescent="0.25">
      <c r="A544" s="4" t="s">
        <v>165</v>
      </c>
      <c r="B544" s="4" t="s">
        <v>1156</v>
      </c>
      <c r="C544" s="4" t="s">
        <v>243</v>
      </c>
      <c r="D544" s="19">
        <v>116</v>
      </c>
      <c r="E544" s="4" t="s">
        <v>1157</v>
      </c>
    </row>
    <row r="545" spans="1:5" x14ac:dyDescent="0.25">
      <c r="A545" s="4" t="s">
        <v>165</v>
      </c>
      <c r="B545" s="4" t="s">
        <v>1158</v>
      </c>
      <c r="C545" s="4" t="s">
        <v>173</v>
      </c>
      <c r="D545" s="19">
        <v>8597</v>
      </c>
      <c r="E545" s="4" t="s">
        <v>1159</v>
      </c>
    </row>
    <row r="546" spans="1:5" x14ac:dyDescent="0.25">
      <c r="A546" s="4" t="s">
        <v>165</v>
      </c>
      <c r="B546" s="4" t="s">
        <v>1160</v>
      </c>
      <c r="C546" s="4" t="s">
        <v>248</v>
      </c>
      <c r="D546" s="19">
        <v>5152</v>
      </c>
      <c r="E546" s="4" t="s">
        <v>1161</v>
      </c>
    </row>
    <row r="547" spans="1:5" x14ac:dyDescent="0.25">
      <c r="A547" s="4" t="s">
        <v>165</v>
      </c>
      <c r="B547" s="4" t="s">
        <v>1162</v>
      </c>
      <c r="C547" s="4" t="s">
        <v>279</v>
      </c>
      <c r="D547" s="19">
        <v>32</v>
      </c>
      <c r="E547" s="4" t="s">
        <v>1163</v>
      </c>
    </row>
    <row r="548" spans="1:5" x14ac:dyDescent="0.25">
      <c r="A548" s="4" t="s">
        <v>165</v>
      </c>
      <c r="B548" s="4" t="s">
        <v>1164</v>
      </c>
      <c r="C548" s="4" t="s">
        <v>282</v>
      </c>
      <c r="D548" s="19">
        <v>4118</v>
      </c>
      <c r="E548" s="4" t="s">
        <v>1165</v>
      </c>
    </row>
    <row r="549" spans="1:5" x14ac:dyDescent="0.25">
      <c r="A549" s="4" t="s">
        <v>165</v>
      </c>
      <c r="B549" s="4" t="s">
        <v>1166</v>
      </c>
      <c r="C549" s="4" t="s">
        <v>243</v>
      </c>
      <c r="D549" s="19">
        <v>116</v>
      </c>
      <c r="E549" s="4" t="s">
        <v>1167</v>
      </c>
    </row>
    <row r="550" spans="1:5" x14ac:dyDescent="0.25">
      <c r="A550" s="4" t="s">
        <v>165</v>
      </c>
      <c r="B550" s="4" t="s">
        <v>1168</v>
      </c>
      <c r="C550" s="4" t="s">
        <v>173</v>
      </c>
      <c r="D550" s="19">
        <v>1105</v>
      </c>
      <c r="E550" s="4" t="s">
        <v>1169</v>
      </c>
    </row>
    <row r="551" spans="1:5" x14ac:dyDescent="0.25">
      <c r="A551" s="4" t="s">
        <v>165</v>
      </c>
      <c r="B551" s="4" t="s">
        <v>1170</v>
      </c>
      <c r="C551" s="4" t="s">
        <v>248</v>
      </c>
      <c r="D551" s="19">
        <v>5152</v>
      </c>
      <c r="E551" s="4" t="s">
        <v>1171</v>
      </c>
    </row>
    <row r="552" spans="1:5" x14ac:dyDescent="0.25">
      <c r="A552" s="4" t="s">
        <v>165</v>
      </c>
      <c r="B552" s="4" t="s">
        <v>1172</v>
      </c>
      <c r="C552" s="4" t="s">
        <v>279</v>
      </c>
      <c r="D552" s="19">
        <v>32</v>
      </c>
      <c r="E552" s="4" t="s">
        <v>1173</v>
      </c>
    </row>
    <row r="553" spans="1:5" x14ac:dyDescent="0.25">
      <c r="A553" s="4" t="s">
        <v>165</v>
      </c>
      <c r="B553" s="4" t="s">
        <v>1174</v>
      </c>
      <c r="C553" s="4" t="s">
        <v>282</v>
      </c>
      <c r="D553" s="19">
        <v>4118</v>
      </c>
      <c r="E553" s="4" t="s">
        <v>1175</v>
      </c>
    </row>
    <row r="554" spans="1:5" x14ac:dyDescent="0.25">
      <c r="A554" s="4" t="s">
        <v>165</v>
      </c>
      <c r="B554" s="4" t="s">
        <v>1176</v>
      </c>
      <c r="C554" s="4" t="s">
        <v>243</v>
      </c>
      <c r="D554" s="19">
        <v>116</v>
      </c>
      <c r="E554" s="4" t="s">
        <v>1177</v>
      </c>
    </row>
    <row r="555" spans="1:5" x14ac:dyDescent="0.25">
      <c r="A555" s="4" t="s">
        <v>165</v>
      </c>
      <c r="B555" s="4" t="s">
        <v>1178</v>
      </c>
      <c r="C555" s="4" t="s">
        <v>173</v>
      </c>
      <c r="D555" s="19">
        <v>1062</v>
      </c>
      <c r="E555" s="4" t="s">
        <v>1179</v>
      </c>
    </row>
    <row r="556" spans="1:5" x14ac:dyDescent="0.25">
      <c r="A556" s="4" t="s">
        <v>165</v>
      </c>
      <c r="B556" s="4" t="s">
        <v>1180</v>
      </c>
      <c r="C556" s="4" t="s">
        <v>248</v>
      </c>
      <c r="D556" s="19">
        <v>5152</v>
      </c>
      <c r="E556" s="4" t="s">
        <v>1181</v>
      </c>
    </row>
    <row r="557" spans="1:5" x14ac:dyDescent="0.25">
      <c r="A557" s="4" t="s">
        <v>165</v>
      </c>
      <c r="B557" s="4" t="s">
        <v>1182</v>
      </c>
      <c r="C557" s="4" t="s">
        <v>279</v>
      </c>
      <c r="D557" s="19">
        <v>32</v>
      </c>
      <c r="E557" s="4" t="s">
        <v>1183</v>
      </c>
    </row>
    <row r="558" spans="1:5" x14ac:dyDescent="0.25">
      <c r="A558" s="4" t="s">
        <v>165</v>
      </c>
      <c r="B558" s="4" t="s">
        <v>1184</v>
      </c>
      <c r="C558" s="4" t="s">
        <v>243</v>
      </c>
      <c r="D558" s="19">
        <v>116</v>
      </c>
      <c r="E558" s="4" t="s">
        <v>1185</v>
      </c>
    </row>
    <row r="559" spans="1:5" x14ac:dyDescent="0.25">
      <c r="A559" s="4" t="s">
        <v>165</v>
      </c>
      <c r="B559" s="4" t="s">
        <v>1186</v>
      </c>
      <c r="C559" s="4" t="s">
        <v>173</v>
      </c>
      <c r="D559" s="19">
        <v>1796</v>
      </c>
      <c r="E559" s="4" t="s">
        <v>1187</v>
      </c>
    </row>
    <row r="560" spans="1:5" x14ac:dyDescent="0.25">
      <c r="A560" s="4" t="s">
        <v>165</v>
      </c>
      <c r="B560" s="4" t="s">
        <v>1188</v>
      </c>
      <c r="C560" s="4" t="s">
        <v>248</v>
      </c>
      <c r="D560" s="19">
        <v>32</v>
      </c>
      <c r="E560" s="4" t="s">
        <v>1189</v>
      </c>
    </row>
    <row r="561" spans="1:5" x14ac:dyDescent="0.25">
      <c r="A561" s="4" t="s">
        <v>165</v>
      </c>
      <c r="B561" s="4" t="s">
        <v>1190</v>
      </c>
      <c r="C561" s="4" t="s">
        <v>279</v>
      </c>
      <c r="D561" s="19">
        <v>32</v>
      </c>
      <c r="E561" s="4" t="s">
        <v>1191</v>
      </c>
    </row>
    <row r="562" spans="1:5" x14ac:dyDescent="0.25">
      <c r="A562" s="4" t="s">
        <v>165</v>
      </c>
      <c r="B562" s="4" t="s">
        <v>1192</v>
      </c>
      <c r="C562" s="4" t="s">
        <v>282</v>
      </c>
      <c r="D562" s="19">
        <v>4118</v>
      </c>
      <c r="E562" s="4" t="s">
        <v>1193</v>
      </c>
    </row>
    <row r="563" spans="1:5" x14ac:dyDescent="0.25">
      <c r="A563" s="4" t="s">
        <v>165</v>
      </c>
      <c r="B563" s="4" t="s">
        <v>1194</v>
      </c>
      <c r="C563" s="4" t="s">
        <v>243</v>
      </c>
      <c r="D563" s="19">
        <v>116</v>
      </c>
      <c r="E563" s="4" t="s">
        <v>1195</v>
      </c>
    </row>
    <row r="564" spans="1:5" x14ac:dyDescent="0.25">
      <c r="A564" s="4" t="s">
        <v>165</v>
      </c>
      <c r="B564" s="4" t="s">
        <v>1196</v>
      </c>
      <c r="C564" s="4" t="s">
        <v>173</v>
      </c>
      <c r="D564" s="19">
        <v>24790127</v>
      </c>
      <c r="E564" s="4" t="s">
        <v>1197</v>
      </c>
    </row>
    <row r="565" spans="1:5" x14ac:dyDescent="0.25">
      <c r="A565" s="4" t="s">
        <v>165</v>
      </c>
      <c r="B565" s="4" t="s">
        <v>1198</v>
      </c>
      <c r="C565" s="4" t="s">
        <v>248</v>
      </c>
      <c r="D565" s="19">
        <v>5280</v>
      </c>
      <c r="E565" s="4" t="s">
        <v>1199</v>
      </c>
    </row>
    <row r="566" spans="1:5" x14ac:dyDescent="0.25">
      <c r="A566" s="4" t="s">
        <v>165</v>
      </c>
      <c r="B566" s="4" t="s">
        <v>1200</v>
      </c>
      <c r="C566" s="4" t="s">
        <v>279</v>
      </c>
      <c r="D566" s="19">
        <v>32</v>
      </c>
      <c r="E566" s="4" t="s">
        <v>1201</v>
      </c>
    </row>
    <row r="567" spans="1:5" x14ac:dyDescent="0.25">
      <c r="A567" s="4" t="s">
        <v>165</v>
      </c>
      <c r="B567" s="4" t="s">
        <v>1202</v>
      </c>
      <c r="C567" s="4" t="s">
        <v>282</v>
      </c>
      <c r="D567" s="19">
        <v>24598</v>
      </c>
      <c r="E567" s="4" t="s">
        <v>1203</v>
      </c>
    </row>
    <row r="568" spans="1:5" x14ac:dyDescent="0.25">
      <c r="A568" s="4" t="s">
        <v>165</v>
      </c>
      <c r="B568" s="4" t="s">
        <v>1204</v>
      </c>
      <c r="C568" s="4" t="s">
        <v>243</v>
      </c>
      <c r="D568" s="19">
        <v>116</v>
      </c>
      <c r="E568" s="4" t="s">
        <v>1205</v>
      </c>
    </row>
    <row r="569" spans="1:5" x14ac:dyDescent="0.25">
      <c r="A569" s="4" t="s">
        <v>165</v>
      </c>
      <c r="B569" s="4" t="s">
        <v>1206</v>
      </c>
      <c r="C569" s="4" t="s">
        <v>173</v>
      </c>
      <c r="D569" s="19">
        <v>18977</v>
      </c>
      <c r="E569" s="4" t="s">
        <v>1207</v>
      </c>
    </row>
    <row r="570" spans="1:5" x14ac:dyDescent="0.25">
      <c r="A570" s="4" t="s">
        <v>165</v>
      </c>
      <c r="B570" s="4" t="s">
        <v>1208</v>
      </c>
      <c r="C570" s="4" t="s">
        <v>248</v>
      </c>
      <c r="D570" s="19">
        <v>5152</v>
      </c>
      <c r="E570" s="4" t="s">
        <v>1209</v>
      </c>
    </row>
    <row r="571" spans="1:5" x14ac:dyDescent="0.25">
      <c r="A571" s="4" t="s">
        <v>165</v>
      </c>
      <c r="B571" s="4" t="s">
        <v>1210</v>
      </c>
      <c r="C571" s="4" t="s">
        <v>279</v>
      </c>
      <c r="D571" s="19">
        <v>32</v>
      </c>
      <c r="E571" s="4" t="s">
        <v>1211</v>
      </c>
    </row>
    <row r="572" spans="1:5" x14ac:dyDescent="0.25">
      <c r="A572" s="4" t="s">
        <v>165</v>
      </c>
      <c r="B572" s="4" t="s">
        <v>1212</v>
      </c>
      <c r="C572" s="4" t="s">
        <v>282</v>
      </c>
      <c r="D572" s="19">
        <v>4118</v>
      </c>
      <c r="E572" s="4" t="s">
        <v>1213</v>
      </c>
    </row>
    <row r="573" spans="1:5" x14ac:dyDescent="0.25">
      <c r="A573" s="4" t="s">
        <v>165</v>
      </c>
      <c r="B573" s="4" t="s">
        <v>786</v>
      </c>
      <c r="C573" s="4" t="s">
        <v>202</v>
      </c>
      <c r="D573" s="19">
        <v>4</v>
      </c>
      <c r="E573" s="4" t="s">
        <v>1214</v>
      </c>
    </row>
    <row r="574" spans="1:5" x14ac:dyDescent="0.25">
      <c r="A574" s="4" t="s">
        <v>165</v>
      </c>
      <c r="B574" s="4" t="s">
        <v>788</v>
      </c>
      <c r="C574" s="4" t="s">
        <v>202</v>
      </c>
      <c r="D574" s="19">
        <v>400</v>
      </c>
      <c r="E574" s="4" t="s">
        <v>1215</v>
      </c>
    </row>
    <row r="575" spans="1:5" x14ac:dyDescent="0.25">
      <c r="A575" s="4" t="s">
        <v>167</v>
      </c>
      <c r="B575" s="4" t="s">
        <v>1216</v>
      </c>
      <c r="C575" s="4" t="s">
        <v>177</v>
      </c>
      <c r="D575" s="19">
        <v>1325342720</v>
      </c>
      <c r="E575" s="4" t="s">
        <v>1217</v>
      </c>
    </row>
    <row r="576" spans="1:5" x14ac:dyDescent="0.25">
      <c r="A576" s="4" t="s">
        <v>167</v>
      </c>
      <c r="B576" s="4" t="s">
        <v>1218</v>
      </c>
      <c r="C576" s="4" t="s">
        <v>1219</v>
      </c>
      <c r="D576" s="19">
        <v>1637343</v>
      </c>
      <c r="E576" s="4" t="s">
        <v>1220</v>
      </c>
    </row>
    <row r="577" spans="1:5" x14ac:dyDescent="0.25">
      <c r="A577" s="4" t="s">
        <v>167</v>
      </c>
      <c r="B577" s="4" t="s">
        <v>1221</v>
      </c>
      <c r="C577" s="4" t="s">
        <v>1222</v>
      </c>
      <c r="D577" s="19">
        <v>1937</v>
      </c>
      <c r="E577" s="4" t="s">
        <v>1223</v>
      </c>
    </row>
    <row r="578" spans="1:5" x14ac:dyDescent="0.25">
      <c r="A578" s="4" t="s">
        <v>167</v>
      </c>
      <c r="B578" s="4" t="s">
        <v>1224</v>
      </c>
      <c r="C578" s="4" t="s">
        <v>1222</v>
      </c>
      <c r="D578" s="19">
        <v>1891</v>
      </c>
      <c r="E578" s="4" t="s">
        <v>1225</v>
      </c>
    </row>
    <row r="579" spans="1:5" x14ac:dyDescent="0.25">
      <c r="A579" s="4" t="s">
        <v>167</v>
      </c>
      <c r="B579" s="4" t="s">
        <v>1226</v>
      </c>
      <c r="C579" s="4" t="s">
        <v>1222</v>
      </c>
      <c r="D579" s="19">
        <v>1749</v>
      </c>
      <c r="E579" s="4" t="s">
        <v>1227</v>
      </c>
    </row>
    <row r="580" spans="1:5" x14ac:dyDescent="0.25">
      <c r="A580" s="4" t="s">
        <v>167</v>
      </c>
      <c r="B580" s="4" t="s">
        <v>1228</v>
      </c>
      <c r="C580" s="4" t="s">
        <v>1222</v>
      </c>
      <c r="D580" s="19">
        <v>982</v>
      </c>
      <c r="E580" s="4" t="s">
        <v>1229</v>
      </c>
    </row>
    <row r="581" spans="1:5" x14ac:dyDescent="0.25">
      <c r="A581" s="4" t="s">
        <v>167</v>
      </c>
      <c r="B581" s="4" t="s">
        <v>1230</v>
      </c>
      <c r="C581" s="4" t="s">
        <v>1222</v>
      </c>
      <c r="D581" s="19">
        <v>1949</v>
      </c>
      <c r="E581" s="4" t="s">
        <v>1231</v>
      </c>
    </row>
    <row r="582" spans="1:5" x14ac:dyDescent="0.25">
      <c r="A582" s="4" t="s">
        <v>167</v>
      </c>
      <c r="B582" s="4" t="s">
        <v>1232</v>
      </c>
      <c r="C582" s="4" t="s">
        <v>1222</v>
      </c>
      <c r="D582" s="19">
        <v>1919</v>
      </c>
      <c r="E582" s="4" t="s">
        <v>1233</v>
      </c>
    </row>
  </sheetData>
  <autoFilter ref="A4:E58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pane ySplit="4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48" customWidth="1"/>
    <col min="3" max="3" width="16" customWidth="1"/>
    <col min="4" max="4" width="18" customWidth="1"/>
    <col min="5" max="5" width="46" customWidth="1"/>
  </cols>
  <sheetData>
    <row r="1" spans="1:5" ht="18" customHeight="1" x14ac:dyDescent="0.25">
      <c r="A1" s="1" t="s">
        <v>1234</v>
      </c>
    </row>
    <row r="2" spans="1:5" x14ac:dyDescent="0.25">
      <c r="A2" s="2" t="s">
        <v>1235</v>
      </c>
    </row>
    <row r="4" spans="1:5" ht="27.95" customHeight="1" x14ac:dyDescent="0.25">
      <c r="A4" s="5" t="s">
        <v>1236</v>
      </c>
      <c r="B4" s="5" t="s">
        <v>1237</v>
      </c>
      <c r="C4" s="5" t="s">
        <v>1238</v>
      </c>
      <c r="D4" s="5" t="s">
        <v>1239</v>
      </c>
      <c r="E4" s="5" t="s">
        <v>1240</v>
      </c>
    </row>
    <row r="5" spans="1:5" ht="25.5" customHeight="1" x14ac:dyDescent="0.25">
      <c r="A5" s="4" t="s">
        <v>1241</v>
      </c>
      <c r="B5" s="4" t="s">
        <v>210</v>
      </c>
      <c r="C5" s="19">
        <v>5</v>
      </c>
      <c r="D5" s="19">
        <v>52</v>
      </c>
      <c r="E5" s="23" t="s">
        <v>1242</v>
      </c>
    </row>
    <row r="6" spans="1:5" ht="25.5" customHeight="1" x14ac:dyDescent="0.25">
      <c r="A6" s="4" t="s">
        <v>1241</v>
      </c>
      <c r="B6" s="4" t="s">
        <v>212</v>
      </c>
      <c r="C6" s="19">
        <v>27</v>
      </c>
      <c r="D6" s="19">
        <v>252</v>
      </c>
      <c r="E6" s="23" t="s">
        <v>1243</v>
      </c>
    </row>
    <row r="7" spans="1:5" ht="25.5" customHeight="1" x14ac:dyDescent="0.25">
      <c r="A7" s="4" t="s">
        <v>1241</v>
      </c>
      <c r="B7" s="4" t="s">
        <v>214</v>
      </c>
      <c r="C7" s="19">
        <v>6</v>
      </c>
      <c r="D7" s="19">
        <v>72</v>
      </c>
      <c r="E7" s="23" t="s">
        <v>1244</v>
      </c>
    </row>
    <row r="8" spans="1:5" ht="25.5" customHeight="1" x14ac:dyDescent="0.25">
      <c r="A8" s="4" t="s">
        <v>1241</v>
      </c>
      <c r="B8" s="4" t="s">
        <v>216</v>
      </c>
      <c r="C8" s="19">
        <v>37</v>
      </c>
      <c r="D8" s="19">
        <v>262</v>
      </c>
      <c r="E8" s="23" t="s">
        <v>1245</v>
      </c>
    </row>
    <row r="9" spans="1:5" x14ac:dyDescent="0.25">
      <c r="A9" s="4" t="s">
        <v>1241</v>
      </c>
      <c r="B9" s="4" t="s">
        <v>218</v>
      </c>
      <c r="C9" s="19">
        <v>4</v>
      </c>
      <c r="D9" s="19">
        <v>8</v>
      </c>
      <c r="E9" s="23" t="s">
        <v>1246</v>
      </c>
    </row>
    <row r="10" spans="1:5" x14ac:dyDescent="0.25">
      <c r="A10" s="4" t="s">
        <v>1247</v>
      </c>
      <c r="B10" s="4" t="s">
        <v>220</v>
      </c>
      <c r="C10" s="19">
        <v>0</v>
      </c>
      <c r="D10" s="19">
        <v>0</v>
      </c>
      <c r="E10" s="23" t="s">
        <v>1248</v>
      </c>
    </row>
    <row r="11" spans="1:5" ht="25.5" customHeight="1" x14ac:dyDescent="0.25">
      <c r="A11" s="4" t="s">
        <v>1249</v>
      </c>
      <c r="B11" s="4" t="s">
        <v>222</v>
      </c>
      <c r="C11" s="19">
        <v>10</v>
      </c>
      <c r="D11" s="19">
        <v>54</v>
      </c>
      <c r="E11" s="23" t="s">
        <v>1250</v>
      </c>
    </row>
    <row r="12" spans="1:5" ht="25.5" customHeight="1" x14ac:dyDescent="0.25">
      <c r="A12" s="4" t="s">
        <v>1249</v>
      </c>
      <c r="B12" s="4" t="s">
        <v>224</v>
      </c>
      <c r="C12" s="19">
        <v>2</v>
      </c>
      <c r="D12" s="19">
        <v>13</v>
      </c>
      <c r="E12" s="23" t="s">
        <v>1251</v>
      </c>
    </row>
    <row r="13" spans="1:5" ht="25.5" customHeight="1" x14ac:dyDescent="0.25">
      <c r="A13" s="4" t="s">
        <v>1249</v>
      </c>
      <c r="B13" s="4" t="s">
        <v>226</v>
      </c>
      <c r="C13" s="19">
        <v>8</v>
      </c>
      <c r="D13" s="19">
        <v>62</v>
      </c>
      <c r="E13" s="23" t="s">
        <v>1252</v>
      </c>
    </row>
    <row r="14" spans="1:5" ht="25.5" customHeight="1" x14ac:dyDescent="0.25">
      <c r="A14" s="4" t="s">
        <v>1249</v>
      </c>
      <c r="B14" s="4" t="s">
        <v>228</v>
      </c>
      <c r="C14" s="19">
        <v>3</v>
      </c>
      <c r="D14" s="19">
        <v>28</v>
      </c>
      <c r="E14" s="23" t="s">
        <v>1252</v>
      </c>
    </row>
    <row r="15" spans="1:5" ht="25.5" customHeight="1" x14ac:dyDescent="0.25">
      <c r="A15" s="4" t="s">
        <v>1249</v>
      </c>
      <c r="B15" s="4" t="s">
        <v>230</v>
      </c>
      <c r="C15" s="19">
        <v>4</v>
      </c>
      <c r="D15" s="19">
        <v>53</v>
      </c>
      <c r="E15" s="23" t="s">
        <v>1253</v>
      </c>
    </row>
    <row r="16" spans="1:5" ht="25.5" customHeight="1" x14ac:dyDescent="0.25">
      <c r="A16" s="4" t="s">
        <v>1254</v>
      </c>
      <c r="B16" s="4" t="s">
        <v>232</v>
      </c>
      <c r="C16" s="19">
        <v>7</v>
      </c>
      <c r="D16" s="19">
        <v>197</v>
      </c>
      <c r="E16" s="23" t="s">
        <v>1255</v>
      </c>
    </row>
    <row r="17" spans="1:5" ht="25.5" customHeight="1" x14ac:dyDescent="0.25">
      <c r="A17" s="4" t="s">
        <v>1254</v>
      </c>
      <c r="B17" s="4" t="s">
        <v>234</v>
      </c>
      <c r="C17" s="19">
        <v>4</v>
      </c>
      <c r="D17" s="19">
        <v>96</v>
      </c>
      <c r="E17" s="23" t="s">
        <v>1251</v>
      </c>
    </row>
    <row r="18" spans="1:5" ht="25.5" customHeight="1" x14ac:dyDescent="0.25">
      <c r="A18" s="4" t="s">
        <v>1254</v>
      </c>
      <c r="B18" s="4" t="s">
        <v>222</v>
      </c>
      <c r="C18" s="19">
        <v>5</v>
      </c>
      <c r="D18" s="19">
        <v>23</v>
      </c>
      <c r="E18" s="23" t="s">
        <v>1250</v>
      </c>
    </row>
    <row r="19" spans="1:5" ht="25.5" customHeight="1" x14ac:dyDescent="0.25">
      <c r="A19" s="4" t="s">
        <v>1254</v>
      </c>
      <c r="B19" s="4" t="s">
        <v>228</v>
      </c>
      <c r="C19" s="19">
        <v>3</v>
      </c>
      <c r="D19" s="19">
        <v>28</v>
      </c>
      <c r="E19" s="23" t="s">
        <v>1252</v>
      </c>
    </row>
    <row r="20" spans="1:5" ht="25.5" customHeight="1" x14ac:dyDescent="0.25">
      <c r="A20" s="4" t="s">
        <v>1254</v>
      </c>
      <c r="B20" s="4" t="s">
        <v>238</v>
      </c>
      <c r="C20" s="19">
        <v>37</v>
      </c>
      <c r="D20" s="19">
        <v>262</v>
      </c>
      <c r="E20" s="23" t="s">
        <v>1245</v>
      </c>
    </row>
    <row r="21" spans="1:5" ht="25.5" customHeight="1" x14ac:dyDescent="0.25">
      <c r="A21" s="4" t="s">
        <v>1254</v>
      </c>
      <c r="B21" s="4" t="s">
        <v>230</v>
      </c>
      <c r="C21" s="19">
        <v>4</v>
      </c>
      <c r="D21" s="19">
        <v>53</v>
      </c>
      <c r="E21" s="23" t="s">
        <v>1253</v>
      </c>
    </row>
    <row r="22" spans="1:5" x14ac:dyDescent="0.25">
      <c r="B22" s="7" t="s">
        <v>1256</v>
      </c>
      <c r="C22" s="21">
        <f>SUM(C5:C21)</f>
        <v>166</v>
      </c>
      <c r="D22" s="21">
        <f>SUM(D5:D21)</f>
        <v>1515</v>
      </c>
      <c r="E22" s="22"/>
    </row>
    <row r="24" spans="1:5" ht="30" customHeight="1" x14ac:dyDescent="0.25">
      <c r="A24" s="6" t="s">
        <v>101</v>
      </c>
      <c r="B24" s="44" t="s">
        <v>1257</v>
      </c>
      <c r="C24" s="45"/>
      <c r="D24" s="45"/>
      <c r="E24" s="46"/>
    </row>
  </sheetData>
  <mergeCells count="1">
    <mergeCell ref="B24:E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46" customWidth="1"/>
    <col min="3" max="3" width="40" customWidth="1"/>
    <col min="4" max="4" width="18" customWidth="1"/>
    <col min="5" max="5" width="12" customWidth="1"/>
  </cols>
  <sheetData>
    <row r="1" spans="1:5" ht="18" customHeight="1" x14ac:dyDescent="0.25">
      <c r="A1" s="1" t="s">
        <v>1258</v>
      </c>
    </row>
    <row r="2" spans="1:5" x14ac:dyDescent="0.25">
      <c r="A2" s="2" t="s">
        <v>1259</v>
      </c>
    </row>
    <row r="4" spans="1:5" ht="27.95" customHeight="1" x14ac:dyDescent="0.25">
      <c r="A4" s="5" t="s">
        <v>1236</v>
      </c>
      <c r="B4" s="5" t="s">
        <v>1237</v>
      </c>
      <c r="C4" s="5" t="s">
        <v>1260</v>
      </c>
      <c r="D4" s="5" t="s">
        <v>1261</v>
      </c>
      <c r="E4" s="5" t="s">
        <v>1262</v>
      </c>
    </row>
    <row r="5" spans="1:5" x14ac:dyDescent="0.25">
      <c r="A5" s="4" t="s">
        <v>1241</v>
      </c>
      <c r="B5" s="4" t="s">
        <v>210</v>
      </c>
      <c r="C5" s="4" t="s">
        <v>1263</v>
      </c>
      <c r="D5" s="4" t="s">
        <v>1264</v>
      </c>
      <c r="E5" s="19">
        <v>10</v>
      </c>
    </row>
    <row r="6" spans="1:5" x14ac:dyDescent="0.25">
      <c r="A6" s="4" t="s">
        <v>1241</v>
      </c>
      <c r="B6" s="4" t="s">
        <v>210</v>
      </c>
      <c r="C6" s="4" t="s">
        <v>1265</v>
      </c>
      <c r="D6" s="4" t="s">
        <v>1266</v>
      </c>
      <c r="E6" s="19">
        <v>20</v>
      </c>
    </row>
    <row r="7" spans="1:5" x14ac:dyDescent="0.25">
      <c r="A7" s="4" t="s">
        <v>1241</v>
      </c>
      <c r="B7" s="4" t="s">
        <v>210</v>
      </c>
      <c r="C7" s="4" t="s">
        <v>1267</v>
      </c>
      <c r="D7" s="4" t="s">
        <v>1264</v>
      </c>
      <c r="E7" s="19">
        <v>8</v>
      </c>
    </row>
    <row r="8" spans="1:5" x14ac:dyDescent="0.25">
      <c r="A8" s="4" t="s">
        <v>1241</v>
      </c>
      <c r="B8" s="4" t="s">
        <v>210</v>
      </c>
      <c r="C8" s="4" t="s">
        <v>1268</v>
      </c>
      <c r="D8" s="4" t="s">
        <v>1264</v>
      </c>
      <c r="E8" s="19">
        <v>5</v>
      </c>
    </row>
    <row r="9" spans="1:5" x14ac:dyDescent="0.25">
      <c r="A9" s="4" t="s">
        <v>1241</v>
      </c>
      <c r="B9" s="4" t="s">
        <v>210</v>
      </c>
      <c r="C9" s="4" t="s">
        <v>1269</v>
      </c>
      <c r="D9" s="4" t="s">
        <v>1264</v>
      </c>
      <c r="E9" s="19">
        <v>9</v>
      </c>
    </row>
    <row r="10" spans="1:5" x14ac:dyDescent="0.25">
      <c r="A10" s="4" t="s">
        <v>1241</v>
      </c>
      <c r="B10" s="4" t="s">
        <v>212</v>
      </c>
      <c r="C10" s="4" t="s">
        <v>1270</v>
      </c>
      <c r="D10" s="4" t="s">
        <v>1264</v>
      </c>
      <c r="E10" s="19">
        <v>13</v>
      </c>
    </row>
    <row r="11" spans="1:5" x14ac:dyDescent="0.25">
      <c r="A11" s="4" t="s">
        <v>1241</v>
      </c>
      <c r="B11" s="4" t="s">
        <v>212</v>
      </c>
      <c r="C11" s="4" t="s">
        <v>1271</v>
      </c>
      <c r="D11" s="4" t="s">
        <v>1264</v>
      </c>
      <c r="E11" s="19">
        <v>13</v>
      </c>
    </row>
    <row r="12" spans="1:5" x14ac:dyDescent="0.25">
      <c r="A12" s="4" t="s">
        <v>1241</v>
      </c>
      <c r="B12" s="4" t="s">
        <v>212</v>
      </c>
      <c r="C12" s="4" t="s">
        <v>1272</v>
      </c>
      <c r="D12" s="4" t="s">
        <v>1264</v>
      </c>
      <c r="E12" s="19">
        <v>13</v>
      </c>
    </row>
    <row r="13" spans="1:5" x14ac:dyDescent="0.25">
      <c r="A13" s="4" t="s">
        <v>1241</v>
      </c>
      <c r="B13" s="4" t="s">
        <v>212</v>
      </c>
      <c r="C13" s="4" t="s">
        <v>1273</v>
      </c>
      <c r="D13" s="4" t="s">
        <v>1264</v>
      </c>
      <c r="E13" s="19">
        <v>13</v>
      </c>
    </row>
    <row r="14" spans="1:5" x14ac:dyDescent="0.25">
      <c r="A14" s="4" t="s">
        <v>1241</v>
      </c>
      <c r="B14" s="4" t="s">
        <v>212</v>
      </c>
      <c r="C14" s="4" t="s">
        <v>1274</v>
      </c>
      <c r="D14" s="4" t="s">
        <v>1264</v>
      </c>
      <c r="E14" s="19">
        <v>13</v>
      </c>
    </row>
    <row r="15" spans="1:5" x14ac:dyDescent="0.25">
      <c r="A15" s="4" t="s">
        <v>1241</v>
      </c>
      <c r="B15" s="4" t="s">
        <v>212</v>
      </c>
      <c r="C15" s="4" t="s">
        <v>1275</v>
      </c>
      <c r="D15" s="4" t="s">
        <v>1264</v>
      </c>
      <c r="E15" s="19">
        <v>12</v>
      </c>
    </row>
    <row r="16" spans="1:5" x14ac:dyDescent="0.25">
      <c r="A16" s="4" t="s">
        <v>1241</v>
      </c>
      <c r="B16" s="4" t="s">
        <v>212</v>
      </c>
      <c r="C16" s="4" t="s">
        <v>1276</v>
      </c>
      <c r="D16" s="4" t="s">
        <v>1264</v>
      </c>
      <c r="E16" s="19">
        <v>13</v>
      </c>
    </row>
    <row r="17" spans="1:5" x14ac:dyDescent="0.25">
      <c r="A17" s="4" t="s">
        <v>1241</v>
      </c>
      <c r="B17" s="4" t="s">
        <v>212</v>
      </c>
      <c r="C17" s="4" t="s">
        <v>1277</v>
      </c>
      <c r="D17" s="4" t="s">
        <v>1264</v>
      </c>
      <c r="E17" s="19">
        <v>3</v>
      </c>
    </row>
    <row r="18" spans="1:5" x14ac:dyDescent="0.25">
      <c r="A18" s="4" t="s">
        <v>1241</v>
      </c>
      <c r="B18" s="4" t="s">
        <v>212</v>
      </c>
      <c r="C18" s="4" t="s">
        <v>1278</v>
      </c>
      <c r="D18" s="4" t="s">
        <v>1264</v>
      </c>
      <c r="E18" s="19">
        <v>5</v>
      </c>
    </row>
    <row r="19" spans="1:5" x14ac:dyDescent="0.25">
      <c r="A19" s="4" t="s">
        <v>1241</v>
      </c>
      <c r="B19" s="4" t="s">
        <v>212</v>
      </c>
      <c r="C19" s="4" t="s">
        <v>1279</v>
      </c>
      <c r="D19" s="4" t="s">
        <v>1280</v>
      </c>
      <c r="E19" s="19">
        <v>5</v>
      </c>
    </row>
    <row r="20" spans="1:5" x14ac:dyDescent="0.25">
      <c r="A20" s="4" t="s">
        <v>1241</v>
      </c>
      <c r="B20" s="4" t="s">
        <v>212</v>
      </c>
      <c r="C20" s="4" t="s">
        <v>1281</v>
      </c>
      <c r="D20" s="4" t="s">
        <v>1266</v>
      </c>
      <c r="E20" s="19">
        <v>6</v>
      </c>
    </row>
    <row r="21" spans="1:5" x14ac:dyDescent="0.25">
      <c r="A21" s="4" t="s">
        <v>1241</v>
      </c>
      <c r="B21" s="4" t="s">
        <v>212</v>
      </c>
      <c r="C21" s="4" t="s">
        <v>1282</v>
      </c>
      <c r="D21" s="4" t="s">
        <v>1266</v>
      </c>
      <c r="E21" s="19">
        <v>13</v>
      </c>
    </row>
    <row r="22" spans="1:5" x14ac:dyDescent="0.25">
      <c r="A22" s="4" t="s">
        <v>1241</v>
      </c>
      <c r="B22" s="4" t="s">
        <v>212</v>
      </c>
      <c r="C22" s="4" t="s">
        <v>1283</v>
      </c>
      <c r="D22" s="4" t="s">
        <v>1280</v>
      </c>
      <c r="E22" s="19">
        <v>26</v>
      </c>
    </row>
    <row r="23" spans="1:5" x14ac:dyDescent="0.25">
      <c r="A23" s="4" t="s">
        <v>1241</v>
      </c>
      <c r="B23" s="4" t="s">
        <v>212</v>
      </c>
      <c r="C23" s="4" t="s">
        <v>1284</v>
      </c>
      <c r="D23" s="4" t="s">
        <v>1285</v>
      </c>
      <c r="E23" s="19">
        <v>4</v>
      </c>
    </row>
    <row r="24" spans="1:5" x14ac:dyDescent="0.25">
      <c r="A24" s="4" t="s">
        <v>1241</v>
      </c>
      <c r="B24" s="4" t="s">
        <v>212</v>
      </c>
      <c r="C24" s="4" t="s">
        <v>1286</v>
      </c>
      <c r="D24" s="4" t="s">
        <v>1266</v>
      </c>
      <c r="E24" s="19">
        <v>6</v>
      </c>
    </row>
    <row r="25" spans="1:5" x14ac:dyDescent="0.25">
      <c r="A25" s="4" t="s">
        <v>1241</v>
      </c>
      <c r="B25" s="4" t="s">
        <v>212</v>
      </c>
      <c r="C25" s="4" t="s">
        <v>1287</v>
      </c>
      <c r="D25" s="4" t="s">
        <v>1288</v>
      </c>
      <c r="E25" s="19">
        <v>10</v>
      </c>
    </row>
    <row r="26" spans="1:5" x14ac:dyDescent="0.25">
      <c r="A26" s="4" t="s">
        <v>1241</v>
      </c>
      <c r="B26" s="4" t="s">
        <v>212</v>
      </c>
      <c r="C26" s="4" t="s">
        <v>1289</v>
      </c>
      <c r="D26" s="4" t="s">
        <v>1285</v>
      </c>
      <c r="E26" s="19">
        <v>6</v>
      </c>
    </row>
    <row r="27" spans="1:5" x14ac:dyDescent="0.25">
      <c r="A27" s="4" t="s">
        <v>1241</v>
      </c>
      <c r="B27" s="4" t="s">
        <v>212</v>
      </c>
      <c r="C27" s="4" t="s">
        <v>1290</v>
      </c>
      <c r="D27" s="4" t="s">
        <v>1285</v>
      </c>
      <c r="E27" s="19">
        <v>7</v>
      </c>
    </row>
    <row r="28" spans="1:5" x14ac:dyDescent="0.25">
      <c r="A28" s="4" t="s">
        <v>1241</v>
      </c>
      <c r="B28" s="4" t="s">
        <v>212</v>
      </c>
      <c r="C28" s="4" t="s">
        <v>1291</v>
      </c>
      <c r="D28" s="4" t="s">
        <v>1285</v>
      </c>
      <c r="E28" s="19">
        <v>7</v>
      </c>
    </row>
    <row r="29" spans="1:5" x14ac:dyDescent="0.25">
      <c r="A29" s="4" t="s">
        <v>1241</v>
      </c>
      <c r="B29" s="4" t="s">
        <v>212</v>
      </c>
      <c r="C29" s="4" t="s">
        <v>1292</v>
      </c>
      <c r="D29" s="4" t="s">
        <v>1280</v>
      </c>
      <c r="E29" s="19">
        <v>13</v>
      </c>
    </row>
    <row r="30" spans="1:5" x14ac:dyDescent="0.25">
      <c r="A30" s="4" t="s">
        <v>1241</v>
      </c>
      <c r="B30" s="4" t="s">
        <v>212</v>
      </c>
      <c r="C30" s="4" t="s">
        <v>1293</v>
      </c>
      <c r="D30" s="4" t="s">
        <v>1285</v>
      </c>
      <c r="E30" s="19">
        <v>3</v>
      </c>
    </row>
    <row r="31" spans="1:5" x14ac:dyDescent="0.25">
      <c r="A31" s="4" t="s">
        <v>1241</v>
      </c>
      <c r="B31" s="4" t="s">
        <v>212</v>
      </c>
      <c r="C31" s="4" t="s">
        <v>1294</v>
      </c>
      <c r="D31" s="4" t="s">
        <v>1285</v>
      </c>
      <c r="E31" s="19">
        <v>3</v>
      </c>
    </row>
    <row r="32" spans="1:5" x14ac:dyDescent="0.25">
      <c r="A32" s="4" t="s">
        <v>1241</v>
      </c>
      <c r="B32" s="4" t="s">
        <v>212</v>
      </c>
      <c r="C32" s="4" t="s">
        <v>1295</v>
      </c>
      <c r="D32" s="4" t="s">
        <v>1285</v>
      </c>
      <c r="E32" s="19">
        <v>3</v>
      </c>
    </row>
    <row r="33" spans="1:5" x14ac:dyDescent="0.25">
      <c r="A33" s="4" t="s">
        <v>1241</v>
      </c>
      <c r="B33" s="4" t="s">
        <v>212</v>
      </c>
      <c r="C33" s="4" t="s">
        <v>1296</v>
      </c>
      <c r="D33" s="4" t="s">
        <v>1285</v>
      </c>
      <c r="E33" s="19">
        <v>3</v>
      </c>
    </row>
    <row r="34" spans="1:5" x14ac:dyDescent="0.25">
      <c r="A34" s="4" t="s">
        <v>1241</v>
      </c>
      <c r="B34" s="4" t="s">
        <v>212</v>
      </c>
      <c r="C34" s="4" t="s">
        <v>1297</v>
      </c>
      <c r="D34" s="4" t="s">
        <v>1264</v>
      </c>
      <c r="E34" s="19">
        <v>13</v>
      </c>
    </row>
    <row r="35" spans="1:5" x14ac:dyDescent="0.25">
      <c r="A35" s="4" t="s">
        <v>1241</v>
      </c>
      <c r="B35" s="4" t="s">
        <v>212</v>
      </c>
      <c r="C35" s="4" t="s">
        <v>1298</v>
      </c>
      <c r="D35" s="4" t="s">
        <v>1264</v>
      </c>
      <c r="E35" s="19">
        <v>13</v>
      </c>
    </row>
    <row r="36" spans="1:5" x14ac:dyDescent="0.25">
      <c r="A36" s="4" t="s">
        <v>1241</v>
      </c>
      <c r="B36" s="4" t="s">
        <v>212</v>
      </c>
      <c r="C36" s="4" t="s">
        <v>1299</v>
      </c>
      <c r="D36" s="4" t="s">
        <v>1264</v>
      </c>
      <c r="E36" s="19">
        <v>13</v>
      </c>
    </row>
    <row r="37" spans="1:5" x14ac:dyDescent="0.25">
      <c r="A37" s="4" t="s">
        <v>1241</v>
      </c>
      <c r="B37" s="4" t="s">
        <v>214</v>
      </c>
      <c r="C37" s="4" t="s">
        <v>1300</v>
      </c>
      <c r="D37" s="4" t="s">
        <v>1288</v>
      </c>
      <c r="E37" s="19">
        <v>3</v>
      </c>
    </row>
    <row r="38" spans="1:5" x14ac:dyDescent="0.25">
      <c r="A38" s="4" t="s">
        <v>1241</v>
      </c>
      <c r="B38" s="4" t="s">
        <v>214</v>
      </c>
      <c r="C38" s="4" t="s">
        <v>1301</v>
      </c>
      <c r="D38" s="4" t="s">
        <v>1288</v>
      </c>
      <c r="E38" s="19">
        <v>16</v>
      </c>
    </row>
    <row r="39" spans="1:5" x14ac:dyDescent="0.25">
      <c r="A39" s="4" t="s">
        <v>1241</v>
      </c>
      <c r="B39" s="4" t="s">
        <v>214</v>
      </c>
      <c r="C39" s="4" t="s">
        <v>1302</v>
      </c>
      <c r="D39" s="4" t="s">
        <v>1264</v>
      </c>
      <c r="E39" s="19">
        <v>3</v>
      </c>
    </row>
    <row r="40" spans="1:5" x14ac:dyDescent="0.25">
      <c r="A40" s="4" t="s">
        <v>1241</v>
      </c>
      <c r="B40" s="4" t="s">
        <v>214</v>
      </c>
      <c r="C40" s="4" t="s">
        <v>1303</v>
      </c>
      <c r="D40" s="4" t="s">
        <v>1264</v>
      </c>
      <c r="E40" s="19">
        <v>13</v>
      </c>
    </row>
    <row r="41" spans="1:5" x14ac:dyDescent="0.25">
      <c r="A41" s="4" t="s">
        <v>1241</v>
      </c>
      <c r="B41" s="4" t="s">
        <v>214</v>
      </c>
      <c r="C41" s="4" t="s">
        <v>1304</v>
      </c>
      <c r="D41" s="4" t="s">
        <v>1264</v>
      </c>
      <c r="E41" s="19">
        <v>15</v>
      </c>
    </row>
    <row r="42" spans="1:5" x14ac:dyDescent="0.25">
      <c r="A42" s="4" t="s">
        <v>1241</v>
      </c>
      <c r="B42" s="4" t="s">
        <v>214</v>
      </c>
      <c r="C42" s="4" t="s">
        <v>1305</v>
      </c>
      <c r="D42" s="4" t="s">
        <v>1264</v>
      </c>
      <c r="E42" s="19">
        <v>22</v>
      </c>
    </row>
    <row r="43" spans="1:5" x14ac:dyDescent="0.25">
      <c r="A43" s="4" t="s">
        <v>1241</v>
      </c>
      <c r="B43" s="4" t="s">
        <v>216</v>
      </c>
      <c r="C43" s="4" t="s">
        <v>1306</v>
      </c>
      <c r="D43" s="4" t="s">
        <v>1266</v>
      </c>
      <c r="E43" s="19">
        <v>13</v>
      </c>
    </row>
    <row r="44" spans="1:5" x14ac:dyDescent="0.25">
      <c r="A44" s="4" t="s">
        <v>1241</v>
      </c>
      <c r="B44" s="4" t="s">
        <v>216</v>
      </c>
      <c r="C44" s="4" t="s">
        <v>1307</v>
      </c>
      <c r="D44" s="4" t="s">
        <v>1264</v>
      </c>
      <c r="E44" s="19">
        <v>12</v>
      </c>
    </row>
    <row r="45" spans="1:5" x14ac:dyDescent="0.25">
      <c r="A45" s="4" t="s">
        <v>1241</v>
      </c>
      <c r="B45" s="4" t="s">
        <v>216</v>
      </c>
      <c r="C45" s="4" t="s">
        <v>1308</v>
      </c>
      <c r="D45" s="4" t="s">
        <v>1266</v>
      </c>
      <c r="E45" s="19">
        <v>7</v>
      </c>
    </row>
    <row r="46" spans="1:5" x14ac:dyDescent="0.25">
      <c r="A46" s="4" t="s">
        <v>1241</v>
      </c>
      <c r="B46" s="4" t="s">
        <v>216</v>
      </c>
      <c r="C46" s="4" t="s">
        <v>1309</v>
      </c>
      <c r="D46" s="4" t="s">
        <v>1264</v>
      </c>
      <c r="E46" s="19">
        <v>6</v>
      </c>
    </row>
    <row r="47" spans="1:5" x14ac:dyDescent="0.25">
      <c r="A47" s="4" t="s">
        <v>1241</v>
      </c>
      <c r="B47" s="4" t="s">
        <v>216</v>
      </c>
      <c r="C47" s="4" t="s">
        <v>1310</v>
      </c>
      <c r="D47" s="4" t="s">
        <v>1264</v>
      </c>
      <c r="E47" s="19">
        <v>8</v>
      </c>
    </row>
    <row r="48" spans="1:5" x14ac:dyDescent="0.25">
      <c r="A48" s="4" t="s">
        <v>1241</v>
      </c>
      <c r="B48" s="4" t="s">
        <v>216</v>
      </c>
      <c r="C48" s="4" t="s">
        <v>1311</v>
      </c>
      <c r="D48" s="4" t="s">
        <v>1266</v>
      </c>
      <c r="E48" s="19">
        <v>8</v>
      </c>
    </row>
    <row r="49" spans="1:5" x14ac:dyDescent="0.25">
      <c r="A49" s="4" t="s">
        <v>1241</v>
      </c>
      <c r="B49" s="4" t="s">
        <v>216</v>
      </c>
      <c r="C49" s="4" t="s">
        <v>1312</v>
      </c>
      <c r="D49" s="4" t="s">
        <v>1264</v>
      </c>
      <c r="E49" s="19">
        <v>7</v>
      </c>
    </row>
    <row r="50" spans="1:5" x14ac:dyDescent="0.25">
      <c r="A50" s="4" t="s">
        <v>1241</v>
      </c>
      <c r="B50" s="4" t="s">
        <v>216</v>
      </c>
      <c r="C50" s="4" t="s">
        <v>1313</v>
      </c>
      <c r="D50" s="4" t="s">
        <v>1266</v>
      </c>
      <c r="E50" s="19">
        <v>7</v>
      </c>
    </row>
    <row r="51" spans="1:5" x14ac:dyDescent="0.25">
      <c r="A51" s="4" t="s">
        <v>1241</v>
      </c>
      <c r="B51" s="4" t="s">
        <v>216</v>
      </c>
      <c r="C51" s="4" t="s">
        <v>1314</v>
      </c>
      <c r="D51" s="4" t="s">
        <v>1264</v>
      </c>
      <c r="E51" s="19">
        <v>6</v>
      </c>
    </row>
    <row r="52" spans="1:5" x14ac:dyDescent="0.25">
      <c r="A52" s="4" t="s">
        <v>1241</v>
      </c>
      <c r="B52" s="4" t="s">
        <v>216</v>
      </c>
      <c r="C52" s="4" t="s">
        <v>1315</v>
      </c>
      <c r="D52" s="4" t="s">
        <v>1264</v>
      </c>
      <c r="E52" s="19">
        <v>8</v>
      </c>
    </row>
    <row r="53" spans="1:5" x14ac:dyDescent="0.25">
      <c r="A53" s="4" t="s">
        <v>1241</v>
      </c>
      <c r="B53" s="4" t="s">
        <v>216</v>
      </c>
      <c r="C53" s="4" t="s">
        <v>1316</v>
      </c>
      <c r="D53" s="4" t="s">
        <v>1264</v>
      </c>
      <c r="E53" s="19">
        <v>10</v>
      </c>
    </row>
    <row r="54" spans="1:5" x14ac:dyDescent="0.25">
      <c r="A54" s="4" t="s">
        <v>1241</v>
      </c>
      <c r="B54" s="4" t="s">
        <v>216</v>
      </c>
      <c r="C54" s="4" t="s">
        <v>1317</v>
      </c>
      <c r="D54" s="4" t="s">
        <v>1266</v>
      </c>
      <c r="E54" s="19">
        <v>9</v>
      </c>
    </row>
    <row r="55" spans="1:5" x14ac:dyDescent="0.25">
      <c r="A55" s="4" t="s">
        <v>1241</v>
      </c>
      <c r="B55" s="4" t="s">
        <v>216</v>
      </c>
      <c r="C55" s="4" t="s">
        <v>1318</v>
      </c>
      <c r="D55" s="4" t="s">
        <v>1266</v>
      </c>
      <c r="E55" s="19">
        <v>8</v>
      </c>
    </row>
    <row r="56" spans="1:5" x14ac:dyDescent="0.25">
      <c r="A56" s="4" t="s">
        <v>1241</v>
      </c>
      <c r="B56" s="4" t="s">
        <v>216</v>
      </c>
      <c r="C56" s="4" t="s">
        <v>1319</v>
      </c>
      <c r="D56" s="4" t="s">
        <v>1266</v>
      </c>
      <c r="E56" s="19">
        <v>24</v>
      </c>
    </row>
    <row r="57" spans="1:5" x14ac:dyDescent="0.25">
      <c r="A57" s="4" t="s">
        <v>1241</v>
      </c>
      <c r="B57" s="4" t="s">
        <v>216</v>
      </c>
      <c r="C57" s="4" t="s">
        <v>1320</v>
      </c>
      <c r="D57" s="4" t="s">
        <v>1266</v>
      </c>
      <c r="E57" s="19">
        <v>7</v>
      </c>
    </row>
    <row r="58" spans="1:5" x14ac:dyDescent="0.25">
      <c r="A58" s="4" t="s">
        <v>1241</v>
      </c>
      <c r="B58" s="4" t="s">
        <v>216</v>
      </c>
      <c r="C58" s="4" t="s">
        <v>1321</v>
      </c>
      <c r="D58" s="4" t="s">
        <v>1266</v>
      </c>
      <c r="E58" s="19">
        <v>7</v>
      </c>
    </row>
    <row r="59" spans="1:5" x14ac:dyDescent="0.25">
      <c r="A59" s="4" t="s">
        <v>1241</v>
      </c>
      <c r="B59" s="4" t="s">
        <v>216</v>
      </c>
      <c r="C59" s="4" t="s">
        <v>1322</v>
      </c>
      <c r="D59" s="4" t="s">
        <v>1266</v>
      </c>
      <c r="E59" s="19">
        <v>8</v>
      </c>
    </row>
    <row r="60" spans="1:5" x14ac:dyDescent="0.25">
      <c r="A60" s="4" t="s">
        <v>1241</v>
      </c>
      <c r="B60" s="4" t="s">
        <v>216</v>
      </c>
      <c r="C60" s="4" t="s">
        <v>1323</v>
      </c>
      <c r="D60" s="4" t="s">
        <v>1266</v>
      </c>
      <c r="E60" s="19">
        <v>8</v>
      </c>
    </row>
    <row r="61" spans="1:5" x14ac:dyDescent="0.25">
      <c r="A61" s="4" t="s">
        <v>1241</v>
      </c>
      <c r="B61" s="4" t="s">
        <v>216</v>
      </c>
      <c r="C61" s="4" t="s">
        <v>1324</v>
      </c>
      <c r="D61" s="4" t="s">
        <v>1266</v>
      </c>
      <c r="E61" s="19">
        <v>4</v>
      </c>
    </row>
    <row r="62" spans="1:5" x14ac:dyDescent="0.25">
      <c r="A62" s="4" t="s">
        <v>1241</v>
      </c>
      <c r="B62" s="4" t="s">
        <v>216</v>
      </c>
      <c r="C62" s="4" t="s">
        <v>1325</v>
      </c>
      <c r="D62" s="4" t="s">
        <v>1266</v>
      </c>
      <c r="E62" s="19">
        <v>4</v>
      </c>
    </row>
    <row r="63" spans="1:5" x14ac:dyDescent="0.25">
      <c r="A63" s="4" t="s">
        <v>1241</v>
      </c>
      <c r="B63" s="4" t="s">
        <v>216</v>
      </c>
      <c r="C63" s="4" t="s">
        <v>1326</v>
      </c>
      <c r="D63" s="4" t="s">
        <v>1266</v>
      </c>
      <c r="E63" s="19">
        <v>7</v>
      </c>
    </row>
    <row r="64" spans="1:5" x14ac:dyDescent="0.25">
      <c r="A64" s="4" t="s">
        <v>1241</v>
      </c>
      <c r="B64" s="4" t="s">
        <v>216</v>
      </c>
      <c r="C64" s="4" t="s">
        <v>1327</v>
      </c>
      <c r="D64" s="4" t="s">
        <v>1280</v>
      </c>
      <c r="E64" s="19">
        <v>6</v>
      </c>
    </row>
    <row r="65" spans="1:5" x14ac:dyDescent="0.25">
      <c r="A65" s="4" t="s">
        <v>1241</v>
      </c>
      <c r="B65" s="4" t="s">
        <v>216</v>
      </c>
      <c r="C65" s="4" t="s">
        <v>1328</v>
      </c>
      <c r="D65" s="4" t="s">
        <v>1266</v>
      </c>
      <c r="E65" s="19">
        <v>8</v>
      </c>
    </row>
    <row r="66" spans="1:5" x14ac:dyDescent="0.25">
      <c r="A66" s="4" t="s">
        <v>1241</v>
      </c>
      <c r="B66" s="4" t="s">
        <v>216</v>
      </c>
      <c r="C66" s="4" t="s">
        <v>1329</v>
      </c>
      <c r="D66" s="4" t="s">
        <v>1266</v>
      </c>
      <c r="E66" s="19">
        <v>4</v>
      </c>
    </row>
    <row r="67" spans="1:5" x14ac:dyDescent="0.25">
      <c r="A67" s="4" t="s">
        <v>1241</v>
      </c>
      <c r="B67" s="4" t="s">
        <v>216</v>
      </c>
      <c r="C67" s="4" t="s">
        <v>1330</v>
      </c>
      <c r="D67" s="4" t="s">
        <v>1264</v>
      </c>
      <c r="E67" s="19">
        <v>3</v>
      </c>
    </row>
    <row r="68" spans="1:5" x14ac:dyDescent="0.25">
      <c r="A68" s="4" t="s">
        <v>1241</v>
      </c>
      <c r="B68" s="4" t="s">
        <v>216</v>
      </c>
      <c r="C68" s="4" t="s">
        <v>1331</v>
      </c>
      <c r="D68" s="4" t="s">
        <v>1266</v>
      </c>
      <c r="E68" s="19">
        <v>9</v>
      </c>
    </row>
    <row r="69" spans="1:5" x14ac:dyDescent="0.25">
      <c r="A69" s="4" t="s">
        <v>1241</v>
      </c>
      <c r="B69" s="4" t="s">
        <v>216</v>
      </c>
      <c r="C69" s="4" t="s">
        <v>1332</v>
      </c>
      <c r="D69" s="4" t="s">
        <v>1280</v>
      </c>
      <c r="E69" s="19">
        <v>4</v>
      </c>
    </row>
    <row r="70" spans="1:5" x14ac:dyDescent="0.25">
      <c r="A70" s="4" t="s">
        <v>1241</v>
      </c>
      <c r="B70" s="4" t="s">
        <v>216</v>
      </c>
      <c r="C70" s="4" t="s">
        <v>1333</v>
      </c>
      <c r="D70" s="4" t="s">
        <v>1266</v>
      </c>
      <c r="E70" s="19">
        <v>5</v>
      </c>
    </row>
    <row r="71" spans="1:5" x14ac:dyDescent="0.25">
      <c r="A71" s="4" t="s">
        <v>1241</v>
      </c>
      <c r="B71" s="4" t="s">
        <v>216</v>
      </c>
      <c r="C71" s="4" t="s">
        <v>1334</v>
      </c>
      <c r="D71" s="4" t="s">
        <v>1266</v>
      </c>
      <c r="E71" s="19">
        <v>4</v>
      </c>
    </row>
    <row r="72" spans="1:5" x14ac:dyDescent="0.25">
      <c r="A72" s="4" t="s">
        <v>1241</v>
      </c>
      <c r="B72" s="4" t="s">
        <v>216</v>
      </c>
      <c r="C72" s="4" t="s">
        <v>1335</v>
      </c>
      <c r="D72" s="4" t="s">
        <v>1264</v>
      </c>
      <c r="E72" s="19">
        <v>3</v>
      </c>
    </row>
    <row r="73" spans="1:5" x14ac:dyDescent="0.25">
      <c r="A73" s="4" t="s">
        <v>1241</v>
      </c>
      <c r="B73" s="4" t="s">
        <v>216</v>
      </c>
      <c r="C73" s="4" t="s">
        <v>1336</v>
      </c>
      <c r="D73" s="4" t="s">
        <v>1264</v>
      </c>
      <c r="E73" s="19">
        <v>3</v>
      </c>
    </row>
    <row r="74" spans="1:5" x14ac:dyDescent="0.25">
      <c r="A74" s="4" t="s">
        <v>1241</v>
      </c>
      <c r="B74" s="4" t="s">
        <v>216</v>
      </c>
      <c r="C74" s="4" t="s">
        <v>1337</v>
      </c>
      <c r="D74" s="4" t="s">
        <v>1280</v>
      </c>
      <c r="E74" s="19">
        <v>3</v>
      </c>
    </row>
    <row r="75" spans="1:5" x14ac:dyDescent="0.25">
      <c r="A75" s="4" t="s">
        <v>1241</v>
      </c>
      <c r="B75" s="4" t="s">
        <v>216</v>
      </c>
      <c r="C75" s="4" t="s">
        <v>1338</v>
      </c>
      <c r="D75" s="4" t="s">
        <v>1264</v>
      </c>
      <c r="E75" s="19">
        <v>4</v>
      </c>
    </row>
    <row r="76" spans="1:5" x14ac:dyDescent="0.25">
      <c r="A76" s="4" t="s">
        <v>1241</v>
      </c>
      <c r="B76" s="4" t="s">
        <v>216</v>
      </c>
      <c r="C76" s="4" t="s">
        <v>1339</v>
      </c>
      <c r="D76" s="4" t="s">
        <v>1280</v>
      </c>
      <c r="E76" s="19">
        <v>3</v>
      </c>
    </row>
    <row r="77" spans="1:5" x14ac:dyDescent="0.25">
      <c r="A77" s="4" t="s">
        <v>1241</v>
      </c>
      <c r="B77" s="4" t="s">
        <v>216</v>
      </c>
      <c r="C77" s="4" t="s">
        <v>1340</v>
      </c>
      <c r="D77" s="4" t="s">
        <v>1266</v>
      </c>
      <c r="E77" s="19">
        <v>7</v>
      </c>
    </row>
    <row r="78" spans="1:5" x14ac:dyDescent="0.25">
      <c r="A78" s="4" t="s">
        <v>1241</v>
      </c>
      <c r="B78" s="4" t="s">
        <v>216</v>
      </c>
      <c r="C78" s="4" t="s">
        <v>1341</v>
      </c>
      <c r="D78" s="4" t="s">
        <v>1264</v>
      </c>
      <c r="E78" s="19">
        <v>14</v>
      </c>
    </row>
    <row r="79" spans="1:5" x14ac:dyDescent="0.25">
      <c r="A79" s="4" t="s">
        <v>1241</v>
      </c>
      <c r="B79" s="4" t="s">
        <v>216</v>
      </c>
      <c r="C79" s="4" t="s">
        <v>1342</v>
      </c>
      <c r="D79" s="4" t="s">
        <v>1264</v>
      </c>
      <c r="E79" s="19">
        <v>4</v>
      </c>
    </row>
    <row r="80" spans="1:5" x14ac:dyDescent="0.25">
      <c r="A80" s="4" t="s">
        <v>1241</v>
      </c>
      <c r="B80" s="4" t="s">
        <v>218</v>
      </c>
      <c r="C80" s="4" t="s">
        <v>1343</v>
      </c>
      <c r="D80" s="4" t="s">
        <v>1285</v>
      </c>
      <c r="E80" s="19">
        <v>1</v>
      </c>
    </row>
    <row r="81" spans="1:5" x14ac:dyDescent="0.25">
      <c r="A81" s="4" t="s">
        <v>1241</v>
      </c>
      <c r="B81" s="4" t="s">
        <v>218</v>
      </c>
      <c r="C81" s="4" t="s">
        <v>1344</v>
      </c>
      <c r="D81" s="4" t="s">
        <v>1285</v>
      </c>
      <c r="E81" s="19">
        <v>1</v>
      </c>
    </row>
    <row r="82" spans="1:5" x14ac:dyDescent="0.25">
      <c r="A82" s="4" t="s">
        <v>1241</v>
      </c>
      <c r="B82" s="4" t="s">
        <v>218</v>
      </c>
      <c r="C82" s="4" t="s">
        <v>1345</v>
      </c>
      <c r="D82" s="4" t="s">
        <v>1285</v>
      </c>
      <c r="E82" s="19">
        <v>4</v>
      </c>
    </row>
    <row r="83" spans="1:5" x14ac:dyDescent="0.25">
      <c r="A83" s="4" t="s">
        <v>1241</v>
      </c>
      <c r="B83" s="4" t="s">
        <v>218</v>
      </c>
      <c r="C83" s="4" t="s">
        <v>1346</v>
      </c>
      <c r="D83" s="4" t="s">
        <v>1285</v>
      </c>
      <c r="E83" s="19">
        <v>2</v>
      </c>
    </row>
    <row r="84" spans="1:5" x14ac:dyDescent="0.25">
      <c r="A84" s="4" t="s">
        <v>1249</v>
      </c>
      <c r="B84" s="4" t="s">
        <v>222</v>
      </c>
      <c r="C84" s="4" t="s">
        <v>1347</v>
      </c>
      <c r="D84" s="4" t="s">
        <v>1266</v>
      </c>
      <c r="E84" s="19">
        <v>9</v>
      </c>
    </row>
    <row r="85" spans="1:5" x14ac:dyDescent="0.25">
      <c r="A85" s="4" t="s">
        <v>1249</v>
      </c>
      <c r="B85" s="4" t="s">
        <v>222</v>
      </c>
      <c r="C85" s="4" t="s">
        <v>1348</v>
      </c>
      <c r="D85" s="4" t="s">
        <v>1280</v>
      </c>
      <c r="E85" s="19">
        <v>4</v>
      </c>
    </row>
    <row r="86" spans="1:5" x14ac:dyDescent="0.25">
      <c r="A86" s="4" t="s">
        <v>1249</v>
      </c>
      <c r="B86" s="4" t="s">
        <v>222</v>
      </c>
      <c r="C86" s="4" t="s">
        <v>1349</v>
      </c>
      <c r="D86" s="4" t="s">
        <v>1280</v>
      </c>
      <c r="E86" s="19">
        <v>4</v>
      </c>
    </row>
    <row r="87" spans="1:5" x14ac:dyDescent="0.25">
      <c r="A87" s="4" t="s">
        <v>1249</v>
      </c>
      <c r="B87" s="4" t="s">
        <v>222</v>
      </c>
      <c r="C87" s="4" t="s">
        <v>1350</v>
      </c>
      <c r="D87" s="4" t="s">
        <v>1264</v>
      </c>
      <c r="E87" s="19">
        <v>3</v>
      </c>
    </row>
    <row r="88" spans="1:5" x14ac:dyDescent="0.25">
      <c r="A88" s="4" t="s">
        <v>1249</v>
      </c>
      <c r="B88" s="4" t="s">
        <v>222</v>
      </c>
      <c r="C88" s="4" t="s">
        <v>1351</v>
      </c>
      <c r="D88" s="4" t="s">
        <v>1264</v>
      </c>
      <c r="E88" s="19">
        <v>3</v>
      </c>
    </row>
    <row r="89" spans="1:5" x14ac:dyDescent="0.25">
      <c r="A89" s="4" t="s">
        <v>1249</v>
      </c>
      <c r="B89" s="4" t="s">
        <v>222</v>
      </c>
      <c r="C89" s="4" t="s">
        <v>1352</v>
      </c>
      <c r="D89" s="4" t="s">
        <v>1264</v>
      </c>
      <c r="E89" s="19">
        <v>3</v>
      </c>
    </row>
    <row r="90" spans="1:5" x14ac:dyDescent="0.25">
      <c r="A90" s="4" t="s">
        <v>1249</v>
      </c>
      <c r="B90" s="4" t="s">
        <v>222</v>
      </c>
      <c r="C90" s="4" t="s">
        <v>1353</v>
      </c>
      <c r="D90" s="4" t="s">
        <v>1264</v>
      </c>
      <c r="E90" s="19">
        <v>2</v>
      </c>
    </row>
    <row r="91" spans="1:5" x14ac:dyDescent="0.25">
      <c r="A91" s="4" t="s">
        <v>1249</v>
      </c>
      <c r="B91" s="4" t="s">
        <v>222</v>
      </c>
      <c r="C91" s="4" t="s">
        <v>1354</v>
      </c>
      <c r="D91" s="4" t="s">
        <v>1264</v>
      </c>
      <c r="E91" s="19">
        <v>5</v>
      </c>
    </row>
    <row r="92" spans="1:5" x14ac:dyDescent="0.25">
      <c r="A92" s="4" t="s">
        <v>1249</v>
      </c>
      <c r="B92" s="4" t="s">
        <v>222</v>
      </c>
      <c r="C92" s="4" t="s">
        <v>1355</v>
      </c>
      <c r="D92" s="4" t="s">
        <v>1264</v>
      </c>
      <c r="E92" s="19">
        <v>8</v>
      </c>
    </row>
    <row r="93" spans="1:5" x14ac:dyDescent="0.25">
      <c r="A93" s="4" t="s">
        <v>1249</v>
      </c>
      <c r="B93" s="4" t="s">
        <v>222</v>
      </c>
      <c r="C93" s="4" t="s">
        <v>1356</v>
      </c>
      <c r="D93" s="4" t="s">
        <v>1264</v>
      </c>
      <c r="E93" s="19">
        <v>13</v>
      </c>
    </row>
    <row r="94" spans="1:5" x14ac:dyDescent="0.25">
      <c r="A94" s="4" t="s">
        <v>1249</v>
      </c>
      <c r="B94" s="4" t="s">
        <v>224</v>
      </c>
      <c r="C94" s="4" t="s">
        <v>1269</v>
      </c>
      <c r="D94" s="4" t="s">
        <v>1264</v>
      </c>
      <c r="E94" s="19">
        <v>9</v>
      </c>
    </row>
    <row r="95" spans="1:5" x14ac:dyDescent="0.25">
      <c r="A95" s="4" t="s">
        <v>1249</v>
      </c>
      <c r="B95" s="4" t="s">
        <v>224</v>
      </c>
      <c r="C95" s="4" t="s">
        <v>1357</v>
      </c>
      <c r="D95" s="4" t="s">
        <v>1264</v>
      </c>
      <c r="E95" s="19">
        <v>4</v>
      </c>
    </row>
    <row r="96" spans="1:5" x14ac:dyDescent="0.25">
      <c r="A96" s="4" t="s">
        <v>1249</v>
      </c>
      <c r="B96" s="4" t="s">
        <v>226</v>
      </c>
      <c r="C96" s="4" t="s">
        <v>1358</v>
      </c>
      <c r="D96" s="4" t="s">
        <v>1280</v>
      </c>
      <c r="E96" s="19">
        <v>5</v>
      </c>
    </row>
    <row r="97" spans="1:5" x14ac:dyDescent="0.25">
      <c r="A97" s="4" t="s">
        <v>1249</v>
      </c>
      <c r="B97" s="4" t="s">
        <v>226</v>
      </c>
      <c r="C97" s="4" t="s">
        <v>1359</v>
      </c>
      <c r="D97" s="4" t="s">
        <v>1280</v>
      </c>
      <c r="E97" s="19">
        <v>5</v>
      </c>
    </row>
    <row r="98" spans="1:5" x14ac:dyDescent="0.25">
      <c r="A98" s="4" t="s">
        <v>1249</v>
      </c>
      <c r="B98" s="4" t="s">
        <v>226</v>
      </c>
      <c r="C98" s="4" t="s">
        <v>1360</v>
      </c>
      <c r="D98" s="4" t="s">
        <v>1266</v>
      </c>
      <c r="E98" s="19">
        <v>6</v>
      </c>
    </row>
    <row r="99" spans="1:5" x14ac:dyDescent="0.25">
      <c r="A99" s="4" t="s">
        <v>1249</v>
      </c>
      <c r="B99" s="4" t="s">
        <v>226</v>
      </c>
      <c r="C99" s="4" t="s">
        <v>1361</v>
      </c>
      <c r="D99" s="4" t="s">
        <v>1280</v>
      </c>
      <c r="E99" s="19">
        <v>5</v>
      </c>
    </row>
    <row r="100" spans="1:5" x14ac:dyDescent="0.25">
      <c r="A100" s="4" t="s">
        <v>1249</v>
      </c>
      <c r="B100" s="4" t="s">
        <v>226</v>
      </c>
      <c r="C100" s="4" t="s">
        <v>1362</v>
      </c>
      <c r="D100" s="4" t="s">
        <v>1266</v>
      </c>
      <c r="E100" s="19">
        <v>11</v>
      </c>
    </row>
    <row r="101" spans="1:5" x14ac:dyDescent="0.25">
      <c r="A101" s="4" t="s">
        <v>1249</v>
      </c>
      <c r="B101" s="4" t="s">
        <v>226</v>
      </c>
      <c r="C101" s="4" t="s">
        <v>1363</v>
      </c>
      <c r="D101" s="4" t="s">
        <v>1266</v>
      </c>
      <c r="E101" s="19">
        <v>8</v>
      </c>
    </row>
    <row r="102" spans="1:5" x14ac:dyDescent="0.25">
      <c r="A102" s="4" t="s">
        <v>1249</v>
      </c>
      <c r="B102" s="4" t="s">
        <v>226</v>
      </c>
      <c r="C102" s="4" t="s">
        <v>1364</v>
      </c>
      <c r="D102" s="4" t="s">
        <v>1264</v>
      </c>
      <c r="E102" s="19">
        <v>9</v>
      </c>
    </row>
    <row r="103" spans="1:5" x14ac:dyDescent="0.25">
      <c r="A103" s="4" t="s">
        <v>1249</v>
      </c>
      <c r="B103" s="4" t="s">
        <v>226</v>
      </c>
      <c r="C103" s="4" t="s">
        <v>1365</v>
      </c>
      <c r="D103" s="4" t="s">
        <v>1264</v>
      </c>
      <c r="E103" s="19">
        <v>13</v>
      </c>
    </row>
    <row r="104" spans="1:5" x14ac:dyDescent="0.25">
      <c r="A104" s="4" t="s">
        <v>1249</v>
      </c>
      <c r="B104" s="4" t="s">
        <v>228</v>
      </c>
      <c r="C104" s="4" t="s">
        <v>1275</v>
      </c>
      <c r="D104" s="4" t="s">
        <v>1264</v>
      </c>
      <c r="E104" s="19">
        <v>12</v>
      </c>
    </row>
    <row r="105" spans="1:5" x14ac:dyDescent="0.25">
      <c r="A105" s="4" t="s">
        <v>1249</v>
      </c>
      <c r="B105" s="4" t="s">
        <v>228</v>
      </c>
      <c r="C105" s="4" t="s">
        <v>1276</v>
      </c>
      <c r="D105" s="4" t="s">
        <v>1264</v>
      </c>
      <c r="E105" s="19">
        <v>13</v>
      </c>
    </row>
    <row r="106" spans="1:5" x14ac:dyDescent="0.25">
      <c r="A106" s="4" t="s">
        <v>1249</v>
      </c>
      <c r="B106" s="4" t="s">
        <v>228</v>
      </c>
      <c r="C106" s="4" t="s">
        <v>1277</v>
      </c>
      <c r="D106" s="4" t="s">
        <v>1264</v>
      </c>
      <c r="E106" s="19">
        <v>3</v>
      </c>
    </row>
    <row r="107" spans="1:5" x14ac:dyDescent="0.25">
      <c r="A107" s="4" t="s">
        <v>1249</v>
      </c>
      <c r="B107" s="4" t="s">
        <v>230</v>
      </c>
      <c r="C107" s="4" t="s">
        <v>1366</v>
      </c>
      <c r="D107" s="4" t="s">
        <v>1264</v>
      </c>
      <c r="E107" s="19">
        <v>5</v>
      </c>
    </row>
    <row r="108" spans="1:5" x14ac:dyDescent="0.25">
      <c r="A108" s="4" t="s">
        <v>1249</v>
      </c>
      <c r="B108" s="4" t="s">
        <v>230</v>
      </c>
      <c r="C108" s="4" t="s">
        <v>1367</v>
      </c>
      <c r="D108" s="4" t="s">
        <v>1264</v>
      </c>
      <c r="E108" s="19">
        <v>13</v>
      </c>
    </row>
    <row r="109" spans="1:5" x14ac:dyDescent="0.25">
      <c r="A109" s="4" t="s">
        <v>1249</v>
      </c>
      <c r="B109" s="4" t="s">
        <v>230</v>
      </c>
      <c r="C109" s="4" t="s">
        <v>1368</v>
      </c>
      <c r="D109" s="4" t="s">
        <v>1266</v>
      </c>
      <c r="E109" s="19">
        <v>24</v>
      </c>
    </row>
    <row r="110" spans="1:5" x14ac:dyDescent="0.25">
      <c r="A110" s="4" t="s">
        <v>1249</v>
      </c>
      <c r="B110" s="4" t="s">
        <v>230</v>
      </c>
      <c r="C110" s="4" t="s">
        <v>1369</v>
      </c>
      <c r="D110" s="4" t="s">
        <v>1264</v>
      </c>
      <c r="E110" s="19">
        <v>11</v>
      </c>
    </row>
    <row r="111" spans="1:5" x14ac:dyDescent="0.25">
      <c r="A111" s="4" t="s">
        <v>1254</v>
      </c>
      <c r="B111" s="4" t="s">
        <v>232</v>
      </c>
      <c r="C111" s="4" t="s">
        <v>1370</v>
      </c>
      <c r="D111" s="4" t="s">
        <v>1266</v>
      </c>
      <c r="E111" s="19">
        <v>9</v>
      </c>
    </row>
    <row r="112" spans="1:5" x14ac:dyDescent="0.25">
      <c r="A112" s="4" t="s">
        <v>1254</v>
      </c>
      <c r="B112" s="4" t="s">
        <v>232</v>
      </c>
      <c r="C112" s="4" t="s">
        <v>1371</v>
      </c>
      <c r="D112" s="4" t="s">
        <v>1266</v>
      </c>
      <c r="E112" s="19">
        <v>23</v>
      </c>
    </row>
    <row r="113" spans="1:5" x14ac:dyDescent="0.25">
      <c r="A113" s="4" t="s">
        <v>1254</v>
      </c>
      <c r="B113" s="4" t="s">
        <v>232</v>
      </c>
      <c r="C113" s="4" t="s">
        <v>1372</v>
      </c>
      <c r="D113" s="4" t="s">
        <v>1266</v>
      </c>
      <c r="E113" s="19">
        <v>26</v>
      </c>
    </row>
    <row r="114" spans="1:5" x14ac:dyDescent="0.25">
      <c r="A114" s="4" t="s">
        <v>1254</v>
      </c>
      <c r="B114" s="4" t="s">
        <v>232</v>
      </c>
      <c r="C114" s="4" t="s">
        <v>1373</v>
      </c>
      <c r="D114" s="4" t="s">
        <v>1285</v>
      </c>
      <c r="E114" s="19">
        <v>30</v>
      </c>
    </row>
    <row r="115" spans="1:5" x14ac:dyDescent="0.25">
      <c r="A115" s="4" t="s">
        <v>1254</v>
      </c>
      <c r="B115" s="4" t="s">
        <v>232</v>
      </c>
      <c r="C115" s="4" t="s">
        <v>1374</v>
      </c>
      <c r="D115" s="4" t="s">
        <v>1285</v>
      </c>
      <c r="E115" s="19">
        <v>36</v>
      </c>
    </row>
    <row r="116" spans="1:5" x14ac:dyDescent="0.25">
      <c r="A116" s="4" t="s">
        <v>1254</v>
      </c>
      <c r="B116" s="4" t="s">
        <v>232</v>
      </c>
      <c r="C116" s="4" t="s">
        <v>1375</v>
      </c>
      <c r="D116" s="4" t="s">
        <v>1266</v>
      </c>
      <c r="E116" s="19">
        <v>31</v>
      </c>
    </row>
    <row r="117" spans="1:5" x14ac:dyDescent="0.25">
      <c r="A117" s="4" t="s">
        <v>1254</v>
      </c>
      <c r="B117" s="4" t="s">
        <v>232</v>
      </c>
      <c r="C117" s="4" t="s">
        <v>1376</v>
      </c>
      <c r="D117" s="4" t="s">
        <v>1280</v>
      </c>
      <c r="E117" s="19">
        <v>42</v>
      </c>
    </row>
    <row r="118" spans="1:5" x14ac:dyDescent="0.25">
      <c r="A118" s="4" t="s">
        <v>1254</v>
      </c>
      <c r="B118" s="4" t="s">
        <v>234</v>
      </c>
      <c r="C118" s="4" t="s">
        <v>1377</v>
      </c>
      <c r="D118" s="4" t="s">
        <v>1264</v>
      </c>
      <c r="E118" s="19">
        <v>4</v>
      </c>
    </row>
    <row r="119" spans="1:5" x14ac:dyDescent="0.25">
      <c r="A119" s="4" t="s">
        <v>1254</v>
      </c>
      <c r="B119" s="4" t="s">
        <v>234</v>
      </c>
      <c r="C119" s="4" t="s">
        <v>1378</v>
      </c>
      <c r="D119" s="4" t="s">
        <v>1264</v>
      </c>
      <c r="E119" s="19">
        <v>11</v>
      </c>
    </row>
    <row r="120" spans="1:5" x14ac:dyDescent="0.25">
      <c r="A120" s="4" t="s">
        <v>1254</v>
      </c>
      <c r="B120" s="4" t="s">
        <v>234</v>
      </c>
      <c r="C120" s="4" t="s">
        <v>1379</v>
      </c>
      <c r="D120" s="4" t="s">
        <v>1266</v>
      </c>
      <c r="E120" s="19">
        <v>49</v>
      </c>
    </row>
    <row r="121" spans="1:5" x14ac:dyDescent="0.25">
      <c r="A121" s="4" t="s">
        <v>1254</v>
      </c>
      <c r="B121" s="4" t="s">
        <v>234</v>
      </c>
      <c r="C121" s="4" t="s">
        <v>1380</v>
      </c>
      <c r="D121" s="4" t="s">
        <v>1264</v>
      </c>
      <c r="E121" s="19">
        <v>32</v>
      </c>
    </row>
    <row r="122" spans="1:5" x14ac:dyDescent="0.25">
      <c r="A122" s="4" t="s">
        <v>1254</v>
      </c>
      <c r="B122" s="4" t="s">
        <v>222</v>
      </c>
      <c r="C122" s="4" t="s">
        <v>1347</v>
      </c>
      <c r="D122" s="4" t="s">
        <v>1266</v>
      </c>
      <c r="E122" s="19">
        <v>9</v>
      </c>
    </row>
    <row r="123" spans="1:5" x14ac:dyDescent="0.25">
      <c r="A123" s="4" t="s">
        <v>1254</v>
      </c>
      <c r="B123" s="4" t="s">
        <v>222</v>
      </c>
      <c r="C123" s="4" t="s">
        <v>1348</v>
      </c>
      <c r="D123" s="4" t="s">
        <v>1280</v>
      </c>
      <c r="E123" s="19">
        <v>4</v>
      </c>
    </row>
    <row r="124" spans="1:5" x14ac:dyDescent="0.25">
      <c r="A124" s="4" t="s">
        <v>1254</v>
      </c>
      <c r="B124" s="4" t="s">
        <v>222</v>
      </c>
      <c r="C124" s="4" t="s">
        <v>1349</v>
      </c>
      <c r="D124" s="4" t="s">
        <v>1280</v>
      </c>
      <c r="E124" s="19">
        <v>4</v>
      </c>
    </row>
    <row r="125" spans="1:5" x14ac:dyDescent="0.25">
      <c r="A125" s="4" t="s">
        <v>1254</v>
      </c>
      <c r="B125" s="4" t="s">
        <v>222</v>
      </c>
      <c r="C125" s="4" t="s">
        <v>1351</v>
      </c>
      <c r="D125" s="4" t="s">
        <v>1264</v>
      </c>
      <c r="E125" s="19">
        <v>3</v>
      </c>
    </row>
    <row r="126" spans="1:5" x14ac:dyDescent="0.25">
      <c r="A126" s="4" t="s">
        <v>1254</v>
      </c>
      <c r="B126" s="4" t="s">
        <v>222</v>
      </c>
      <c r="C126" s="4" t="s">
        <v>1352</v>
      </c>
      <c r="D126" s="4" t="s">
        <v>1264</v>
      </c>
      <c r="E126" s="19">
        <v>3</v>
      </c>
    </row>
    <row r="127" spans="1:5" x14ac:dyDescent="0.25">
      <c r="A127" s="4" t="s">
        <v>1254</v>
      </c>
      <c r="B127" s="4" t="s">
        <v>228</v>
      </c>
      <c r="C127" s="4" t="s">
        <v>1275</v>
      </c>
      <c r="D127" s="4" t="s">
        <v>1264</v>
      </c>
      <c r="E127" s="19">
        <v>12</v>
      </c>
    </row>
    <row r="128" spans="1:5" x14ac:dyDescent="0.25">
      <c r="A128" s="4" t="s">
        <v>1254</v>
      </c>
      <c r="B128" s="4" t="s">
        <v>228</v>
      </c>
      <c r="C128" s="4" t="s">
        <v>1276</v>
      </c>
      <c r="D128" s="4" t="s">
        <v>1264</v>
      </c>
      <c r="E128" s="19">
        <v>13</v>
      </c>
    </row>
    <row r="129" spans="1:5" x14ac:dyDescent="0.25">
      <c r="A129" s="4" t="s">
        <v>1254</v>
      </c>
      <c r="B129" s="4" t="s">
        <v>228</v>
      </c>
      <c r="C129" s="4" t="s">
        <v>1277</v>
      </c>
      <c r="D129" s="4" t="s">
        <v>1264</v>
      </c>
      <c r="E129" s="19">
        <v>3</v>
      </c>
    </row>
    <row r="130" spans="1:5" x14ac:dyDescent="0.25">
      <c r="A130" s="4" t="s">
        <v>1254</v>
      </c>
      <c r="B130" s="4" t="s">
        <v>238</v>
      </c>
      <c r="C130" s="4" t="s">
        <v>1306</v>
      </c>
      <c r="D130" s="4" t="s">
        <v>1266</v>
      </c>
      <c r="E130" s="19">
        <v>13</v>
      </c>
    </row>
    <row r="131" spans="1:5" x14ac:dyDescent="0.25">
      <c r="A131" s="4" t="s">
        <v>1254</v>
      </c>
      <c r="B131" s="4" t="s">
        <v>238</v>
      </c>
      <c r="C131" s="4" t="s">
        <v>1307</v>
      </c>
      <c r="D131" s="4" t="s">
        <v>1264</v>
      </c>
      <c r="E131" s="19">
        <v>12</v>
      </c>
    </row>
    <row r="132" spans="1:5" x14ac:dyDescent="0.25">
      <c r="A132" s="4" t="s">
        <v>1254</v>
      </c>
      <c r="B132" s="4" t="s">
        <v>238</v>
      </c>
      <c r="C132" s="4" t="s">
        <v>1308</v>
      </c>
      <c r="D132" s="4" t="s">
        <v>1266</v>
      </c>
      <c r="E132" s="19">
        <v>7</v>
      </c>
    </row>
    <row r="133" spans="1:5" x14ac:dyDescent="0.25">
      <c r="A133" s="4" t="s">
        <v>1254</v>
      </c>
      <c r="B133" s="4" t="s">
        <v>238</v>
      </c>
      <c r="C133" s="4" t="s">
        <v>1309</v>
      </c>
      <c r="D133" s="4" t="s">
        <v>1264</v>
      </c>
      <c r="E133" s="19">
        <v>6</v>
      </c>
    </row>
    <row r="134" spans="1:5" x14ac:dyDescent="0.25">
      <c r="A134" s="4" t="s">
        <v>1254</v>
      </c>
      <c r="B134" s="4" t="s">
        <v>238</v>
      </c>
      <c r="C134" s="4" t="s">
        <v>1310</v>
      </c>
      <c r="D134" s="4" t="s">
        <v>1264</v>
      </c>
      <c r="E134" s="19">
        <v>8</v>
      </c>
    </row>
    <row r="135" spans="1:5" x14ac:dyDescent="0.25">
      <c r="A135" s="4" t="s">
        <v>1254</v>
      </c>
      <c r="B135" s="4" t="s">
        <v>238</v>
      </c>
      <c r="C135" s="4" t="s">
        <v>1311</v>
      </c>
      <c r="D135" s="4" t="s">
        <v>1266</v>
      </c>
      <c r="E135" s="19">
        <v>8</v>
      </c>
    </row>
    <row r="136" spans="1:5" x14ac:dyDescent="0.25">
      <c r="A136" s="4" t="s">
        <v>1254</v>
      </c>
      <c r="B136" s="4" t="s">
        <v>238</v>
      </c>
      <c r="C136" s="4" t="s">
        <v>1312</v>
      </c>
      <c r="D136" s="4" t="s">
        <v>1264</v>
      </c>
      <c r="E136" s="19">
        <v>7</v>
      </c>
    </row>
    <row r="137" spans="1:5" x14ac:dyDescent="0.25">
      <c r="A137" s="4" t="s">
        <v>1254</v>
      </c>
      <c r="B137" s="4" t="s">
        <v>238</v>
      </c>
      <c r="C137" s="4" t="s">
        <v>1313</v>
      </c>
      <c r="D137" s="4" t="s">
        <v>1266</v>
      </c>
      <c r="E137" s="19">
        <v>7</v>
      </c>
    </row>
    <row r="138" spans="1:5" x14ac:dyDescent="0.25">
      <c r="A138" s="4" t="s">
        <v>1254</v>
      </c>
      <c r="B138" s="4" t="s">
        <v>238</v>
      </c>
      <c r="C138" s="4" t="s">
        <v>1314</v>
      </c>
      <c r="D138" s="4" t="s">
        <v>1264</v>
      </c>
      <c r="E138" s="19">
        <v>6</v>
      </c>
    </row>
    <row r="139" spans="1:5" x14ac:dyDescent="0.25">
      <c r="A139" s="4" t="s">
        <v>1254</v>
      </c>
      <c r="B139" s="4" t="s">
        <v>238</v>
      </c>
      <c r="C139" s="4" t="s">
        <v>1315</v>
      </c>
      <c r="D139" s="4" t="s">
        <v>1264</v>
      </c>
      <c r="E139" s="19">
        <v>8</v>
      </c>
    </row>
    <row r="140" spans="1:5" x14ac:dyDescent="0.25">
      <c r="A140" s="4" t="s">
        <v>1254</v>
      </c>
      <c r="B140" s="4" t="s">
        <v>238</v>
      </c>
      <c r="C140" s="4" t="s">
        <v>1316</v>
      </c>
      <c r="D140" s="4" t="s">
        <v>1264</v>
      </c>
      <c r="E140" s="19">
        <v>10</v>
      </c>
    </row>
    <row r="141" spans="1:5" x14ac:dyDescent="0.25">
      <c r="A141" s="4" t="s">
        <v>1254</v>
      </c>
      <c r="B141" s="4" t="s">
        <v>238</v>
      </c>
      <c r="C141" s="4" t="s">
        <v>1317</v>
      </c>
      <c r="D141" s="4" t="s">
        <v>1266</v>
      </c>
      <c r="E141" s="19">
        <v>9</v>
      </c>
    </row>
    <row r="142" spans="1:5" x14ac:dyDescent="0.25">
      <c r="A142" s="4" t="s">
        <v>1254</v>
      </c>
      <c r="B142" s="4" t="s">
        <v>238</v>
      </c>
      <c r="C142" s="4" t="s">
        <v>1318</v>
      </c>
      <c r="D142" s="4" t="s">
        <v>1266</v>
      </c>
      <c r="E142" s="19">
        <v>8</v>
      </c>
    </row>
    <row r="143" spans="1:5" x14ac:dyDescent="0.25">
      <c r="A143" s="4" t="s">
        <v>1254</v>
      </c>
      <c r="B143" s="4" t="s">
        <v>238</v>
      </c>
      <c r="C143" s="4" t="s">
        <v>1319</v>
      </c>
      <c r="D143" s="4" t="s">
        <v>1266</v>
      </c>
      <c r="E143" s="19">
        <v>24</v>
      </c>
    </row>
    <row r="144" spans="1:5" x14ac:dyDescent="0.25">
      <c r="A144" s="4" t="s">
        <v>1254</v>
      </c>
      <c r="B144" s="4" t="s">
        <v>238</v>
      </c>
      <c r="C144" s="4" t="s">
        <v>1320</v>
      </c>
      <c r="D144" s="4" t="s">
        <v>1266</v>
      </c>
      <c r="E144" s="19">
        <v>7</v>
      </c>
    </row>
    <row r="145" spans="1:5" x14ac:dyDescent="0.25">
      <c r="A145" s="4" t="s">
        <v>1254</v>
      </c>
      <c r="B145" s="4" t="s">
        <v>238</v>
      </c>
      <c r="C145" s="4" t="s">
        <v>1321</v>
      </c>
      <c r="D145" s="4" t="s">
        <v>1266</v>
      </c>
      <c r="E145" s="19">
        <v>7</v>
      </c>
    </row>
    <row r="146" spans="1:5" x14ac:dyDescent="0.25">
      <c r="A146" s="4" t="s">
        <v>1254</v>
      </c>
      <c r="B146" s="4" t="s">
        <v>238</v>
      </c>
      <c r="C146" s="4" t="s">
        <v>1322</v>
      </c>
      <c r="D146" s="4" t="s">
        <v>1266</v>
      </c>
      <c r="E146" s="19">
        <v>8</v>
      </c>
    </row>
    <row r="147" spans="1:5" x14ac:dyDescent="0.25">
      <c r="A147" s="4" t="s">
        <v>1254</v>
      </c>
      <c r="B147" s="4" t="s">
        <v>238</v>
      </c>
      <c r="C147" s="4" t="s">
        <v>1323</v>
      </c>
      <c r="D147" s="4" t="s">
        <v>1266</v>
      </c>
      <c r="E147" s="19">
        <v>8</v>
      </c>
    </row>
    <row r="148" spans="1:5" x14ac:dyDescent="0.25">
      <c r="A148" s="4" t="s">
        <v>1254</v>
      </c>
      <c r="B148" s="4" t="s">
        <v>238</v>
      </c>
      <c r="C148" s="4" t="s">
        <v>1324</v>
      </c>
      <c r="D148" s="4" t="s">
        <v>1266</v>
      </c>
      <c r="E148" s="19">
        <v>4</v>
      </c>
    </row>
    <row r="149" spans="1:5" x14ac:dyDescent="0.25">
      <c r="A149" s="4" t="s">
        <v>1254</v>
      </c>
      <c r="B149" s="4" t="s">
        <v>238</v>
      </c>
      <c r="C149" s="4" t="s">
        <v>1325</v>
      </c>
      <c r="D149" s="4" t="s">
        <v>1266</v>
      </c>
      <c r="E149" s="19">
        <v>4</v>
      </c>
    </row>
    <row r="150" spans="1:5" x14ac:dyDescent="0.25">
      <c r="A150" s="4" t="s">
        <v>1254</v>
      </c>
      <c r="B150" s="4" t="s">
        <v>238</v>
      </c>
      <c r="C150" s="4" t="s">
        <v>1326</v>
      </c>
      <c r="D150" s="4" t="s">
        <v>1266</v>
      </c>
      <c r="E150" s="19">
        <v>7</v>
      </c>
    </row>
    <row r="151" spans="1:5" x14ac:dyDescent="0.25">
      <c r="A151" s="4" t="s">
        <v>1254</v>
      </c>
      <c r="B151" s="4" t="s">
        <v>238</v>
      </c>
      <c r="C151" s="4" t="s">
        <v>1327</v>
      </c>
      <c r="D151" s="4" t="s">
        <v>1280</v>
      </c>
      <c r="E151" s="19">
        <v>6</v>
      </c>
    </row>
    <row r="152" spans="1:5" x14ac:dyDescent="0.25">
      <c r="A152" s="4" t="s">
        <v>1254</v>
      </c>
      <c r="B152" s="4" t="s">
        <v>238</v>
      </c>
      <c r="C152" s="4" t="s">
        <v>1328</v>
      </c>
      <c r="D152" s="4" t="s">
        <v>1266</v>
      </c>
      <c r="E152" s="19">
        <v>8</v>
      </c>
    </row>
    <row r="153" spans="1:5" x14ac:dyDescent="0.25">
      <c r="A153" s="4" t="s">
        <v>1254</v>
      </c>
      <c r="B153" s="4" t="s">
        <v>238</v>
      </c>
      <c r="C153" s="4" t="s">
        <v>1329</v>
      </c>
      <c r="D153" s="4" t="s">
        <v>1266</v>
      </c>
      <c r="E153" s="19">
        <v>4</v>
      </c>
    </row>
    <row r="154" spans="1:5" x14ac:dyDescent="0.25">
      <c r="A154" s="4" t="s">
        <v>1254</v>
      </c>
      <c r="B154" s="4" t="s">
        <v>238</v>
      </c>
      <c r="C154" s="4" t="s">
        <v>1330</v>
      </c>
      <c r="D154" s="4" t="s">
        <v>1264</v>
      </c>
      <c r="E154" s="19">
        <v>3</v>
      </c>
    </row>
    <row r="155" spans="1:5" x14ac:dyDescent="0.25">
      <c r="A155" s="4" t="s">
        <v>1254</v>
      </c>
      <c r="B155" s="4" t="s">
        <v>238</v>
      </c>
      <c r="C155" s="4" t="s">
        <v>1331</v>
      </c>
      <c r="D155" s="4" t="s">
        <v>1266</v>
      </c>
      <c r="E155" s="19">
        <v>9</v>
      </c>
    </row>
    <row r="156" spans="1:5" x14ac:dyDescent="0.25">
      <c r="A156" s="4" t="s">
        <v>1254</v>
      </c>
      <c r="B156" s="4" t="s">
        <v>238</v>
      </c>
      <c r="C156" s="4" t="s">
        <v>1332</v>
      </c>
      <c r="D156" s="4" t="s">
        <v>1280</v>
      </c>
      <c r="E156" s="19">
        <v>4</v>
      </c>
    </row>
    <row r="157" spans="1:5" x14ac:dyDescent="0.25">
      <c r="A157" s="4" t="s">
        <v>1254</v>
      </c>
      <c r="B157" s="4" t="s">
        <v>238</v>
      </c>
      <c r="C157" s="4" t="s">
        <v>1333</v>
      </c>
      <c r="D157" s="4" t="s">
        <v>1266</v>
      </c>
      <c r="E157" s="19">
        <v>5</v>
      </c>
    </row>
    <row r="158" spans="1:5" x14ac:dyDescent="0.25">
      <c r="A158" s="4" t="s">
        <v>1254</v>
      </c>
      <c r="B158" s="4" t="s">
        <v>238</v>
      </c>
      <c r="C158" s="4" t="s">
        <v>1334</v>
      </c>
      <c r="D158" s="4" t="s">
        <v>1266</v>
      </c>
      <c r="E158" s="19">
        <v>4</v>
      </c>
    </row>
    <row r="159" spans="1:5" x14ac:dyDescent="0.25">
      <c r="A159" s="4" t="s">
        <v>1254</v>
      </c>
      <c r="B159" s="4" t="s">
        <v>238</v>
      </c>
      <c r="C159" s="4" t="s">
        <v>1335</v>
      </c>
      <c r="D159" s="4" t="s">
        <v>1264</v>
      </c>
      <c r="E159" s="19">
        <v>3</v>
      </c>
    </row>
    <row r="160" spans="1:5" x14ac:dyDescent="0.25">
      <c r="A160" s="4" t="s">
        <v>1254</v>
      </c>
      <c r="B160" s="4" t="s">
        <v>238</v>
      </c>
      <c r="C160" s="4" t="s">
        <v>1336</v>
      </c>
      <c r="D160" s="4" t="s">
        <v>1264</v>
      </c>
      <c r="E160" s="19">
        <v>3</v>
      </c>
    </row>
    <row r="161" spans="1:5" x14ac:dyDescent="0.25">
      <c r="A161" s="4" t="s">
        <v>1254</v>
      </c>
      <c r="B161" s="4" t="s">
        <v>238</v>
      </c>
      <c r="C161" s="4" t="s">
        <v>1337</v>
      </c>
      <c r="D161" s="4" t="s">
        <v>1280</v>
      </c>
      <c r="E161" s="19">
        <v>3</v>
      </c>
    </row>
    <row r="162" spans="1:5" x14ac:dyDescent="0.25">
      <c r="A162" s="4" t="s">
        <v>1254</v>
      </c>
      <c r="B162" s="4" t="s">
        <v>238</v>
      </c>
      <c r="C162" s="4" t="s">
        <v>1338</v>
      </c>
      <c r="D162" s="4" t="s">
        <v>1264</v>
      </c>
      <c r="E162" s="19">
        <v>4</v>
      </c>
    </row>
    <row r="163" spans="1:5" x14ac:dyDescent="0.25">
      <c r="A163" s="4" t="s">
        <v>1254</v>
      </c>
      <c r="B163" s="4" t="s">
        <v>238</v>
      </c>
      <c r="C163" s="4" t="s">
        <v>1339</v>
      </c>
      <c r="D163" s="4" t="s">
        <v>1280</v>
      </c>
      <c r="E163" s="19">
        <v>3</v>
      </c>
    </row>
    <row r="164" spans="1:5" x14ac:dyDescent="0.25">
      <c r="A164" s="4" t="s">
        <v>1254</v>
      </c>
      <c r="B164" s="4" t="s">
        <v>238</v>
      </c>
      <c r="C164" s="4" t="s">
        <v>1340</v>
      </c>
      <c r="D164" s="4" t="s">
        <v>1266</v>
      </c>
      <c r="E164" s="19">
        <v>7</v>
      </c>
    </row>
    <row r="165" spans="1:5" x14ac:dyDescent="0.25">
      <c r="A165" s="4" t="s">
        <v>1254</v>
      </c>
      <c r="B165" s="4" t="s">
        <v>238</v>
      </c>
      <c r="C165" s="4" t="s">
        <v>1341</v>
      </c>
      <c r="D165" s="4" t="s">
        <v>1264</v>
      </c>
      <c r="E165" s="19">
        <v>14</v>
      </c>
    </row>
    <row r="166" spans="1:5" x14ac:dyDescent="0.25">
      <c r="A166" s="4" t="s">
        <v>1254</v>
      </c>
      <c r="B166" s="4" t="s">
        <v>238</v>
      </c>
      <c r="C166" s="4" t="s">
        <v>1342</v>
      </c>
      <c r="D166" s="4" t="s">
        <v>1264</v>
      </c>
      <c r="E166" s="19">
        <v>4</v>
      </c>
    </row>
    <row r="167" spans="1:5" x14ac:dyDescent="0.25">
      <c r="A167" s="4" t="s">
        <v>1254</v>
      </c>
      <c r="B167" s="4" t="s">
        <v>230</v>
      </c>
      <c r="C167" s="4" t="s">
        <v>1366</v>
      </c>
      <c r="D167" s="4" t="s">
        <v>1264</v>
      </c>
      <c r="E167" s="19">
        <v>5</v>
      </c>
    </row>
    <row r="168" spans="1:5" x14ac:dyDescent="0.25">
      <c r="A168" s="4" t="s">
        <v>1254</v>
      </c>
      <c r="B168" s="4" t="s">
        <v>230</v>
      </c>
      <c r="C168" s="4" t="s">
        <v>1367</v>
      </c>
      <c r="D168" s="4" t="s">
        <v>1264</v>
      </c>
      <c r="E168" s="19">
        <v>13</v>
      </c>
    </row>
    <row r="169" spans="1:5" x14ac:dyDescent="0.25">
      <c r="A169" s="4" t="s">
        <v>1254</v>
      </c>
      <c r="B169" s="4" t="s">
        <v>230</v>
      </c>
      <c r="C169" s="4" t="s">
        <v>1368</v>
      </c>
      <c r="D169" s="4" t="s">
        <v>1266</v>
      </c>
      <c r="E169" s="19">
        <v>24</v>
      </c>
    </row>
    <row r="170" spans="1:5" x14ac:dyDescent="0.25">
      <c r="A170" s="4" t="s">
        <v>1254</v>
      </c>
      <c r="B170" s="4" t="s">
        <v>230</v>
      </c>
      <c r="C170" s="4" t="s">
        <v>1369</v>
      </c>
      <c r="D170" s="4" t="s">
        <v>1264</v>
      </c>
      <c r="E170" s="19">
        <v>11</v>
      </c>
    </row>
  </sheetData>
  <autoFilter ref="A4:E17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8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38" customWidth="1"/>
    <col min="3" max="3" width="22" customWidth="1"/>
    <col min="4" max="4" width="14" customWidth="1"/>
    <col min="5" max="5" width="12" customWidth="1"/>
    <col min="6" max="6" width="20" customWidth="1"/>
  </cols>
  <sheetData>
    <row r="1" spans="1:6" ht="18" customHeight="1" x14ac:dyDescent="0.25">
      <c r="A1" s="1" t="s">
        <v>1381</v>
      </c>
    </row>
    <row r="2" spans="1:6" x14ac:dyDescent="0.25">
      <c r="A2" s="2" t="s">
        <v>1382</v>
      </c>
    </row>
    <row r="4" spans="1:6" ht="27.95" customHeight="1" x14ac:dyDescent="0.25">
      <c r="A4" s="5" t="s">
        <v>1383</v>
      </c>
      <c r="B4" s="5" t="s">
        <v>1260</v>
      </c>
      <c r="C4" s="5" t="s">
        <v>1261</v>
      </c>
      <c r="D4" s="5" t="s">
        <v>1384</v>
      </c>
      <c r="E4" s="5" t="s">
        <v>1262</v>
      </c>
      <c r="F4" s="5" t="s">
        <v>1385</v>
      </c>
    </row>
    <row r="5" spans="1:6" x14ac:dyDescent="0.25">
      <c r="A5" s="4" t="s">
        <v>1386</v>
      </c>
      <c r="B5" s="4" t="s">
        <v>1387</v>
      </c>
      <c r="C5" s="4" t="s">
        <v>1388</v>
      </c>
      <c r="D5" s="19">
        <v>265</v>
      </c>
      <c r="E5" s="19">
        <v>12</v>
      </c>
      <c r="F5" s="4" t="str">
        <f>IF(COUNTIF('Capas documentadas'!$C$5:$C$170,B5)&gt;0,"Si","NO")</f>
        <v>NO</v>
      </c>
    </row>
    <row r="6" spans="1:6" x14ac:dyDescent="0.25">
      <c r="A6" s="4" t="s">
        <v>1386</v>
      </c>
      <c r="B6" s="4" t="s">
        <v>1389</v>
      </c>
      <c r="C6" s="4" t="s">
        <v>1390</v>
      </c>
      <c r="D6" s="19">
        <v>265</v>
      </c>
      <c r="E6" s="19">
        <v>26</v>
      </c>
      <c r="F6" s="4" t="str">
        <f>IF(COUNTIF('Capas documentadas'!$C$5:$C$170,B6)&gt;0,"Si","NO")</f>
        <v>NO</v>
      </c>
    </row>
    <row r="7" spans="1:6" x14ac:dyDescent="0.25">
      <c r="A7" s="4" t="s">
        <v>1386</v>
      </c>
      <c r="B7" s="4" t="s">
        <v>1391</v>
      </c>
      <c r="C7" s="4" t="s">
        <v>1392</v>
      </c>
      <c r="D7" s="19">
        <v>16</v>
      </c>
      <c r="E7" s="19">
        <v>13</v>
      </c>
      <c r="F7" s="4" t="str">
        <f>IF(COUNTIF('Capas documentadas'!$C$5:$C$170,B7)&gt;0,"Si","NO")</f>
        <v>NO</v>
      </c>
    </row>
    <row r="8" spans="1:6" x14ac:dyDescent="0.25">
      <c r="A8" s="4" t="s">
        <v>1386</v>
      </c>
      <c r="B8" s="4" t="s">
        <v>1393</v>
      </c>
      <c r="C8" s="4" t="s">
        <v>1392</v>
      </c>
      <c r="D8" s="19">
        <v>1193</v>
      </c>
      <c r="E8" s="19">
        <v>11</v>
      </c>
      <c r="F8" s="4" t="str">
        <f>IF(COUNTIF('Capas documentadas'!$C$5:$C$170,B8)&gt;0,"Si","NO")</f>
        <v>NO</v>
      </c>
    </row>
    <row r="9" spans="1:6" x14ac:dyDescent="0.25">
      <c r="A9" s="4" t="s">
        <v>1386</v>
      </c>
      <c r="B9" s="4" t="s">
        <v>1394</v>
      </c>
      <c r="C9" s="4" t="s">
        <v>1395</v>
      </c>
      <c r="D9" s="19">
        <v>3108</v>
      </c>
      <c r="E9" s="19">
        <v>12</v>
      </c>
      <c r="F9" s="4" t="str">
        <f>IF(COUNTIF('Capas documentadas'!$C$5:$C$170,B9)&gt;0,"Si","NO")</f>
        <v>NO</v>
      </c>
    </row>
    <row r="10" spans="1:6" x14ac:dyDescent="0.25">
      <c r="A10" s="4" t="s">
        <v>1386</v>
      </c>
      <c r="B10" s="4" t="s">
        <v>1396</v>
      </c>
      <c r="C10" s="4" t="s">
        <v>1388</v>
      </c>
      <c r="D10" s="19">
        <v>9651</v>
      </c>
      <c r="E10" s="19">
        <v>13</v>
      </c>
      <c r="F10" s="4" t="str">
        <f>IF(COUNTIF('Capas documentadas'!$C$5:$C$170,B10)&gt;0,"Si","NO")</f>
        <v>NO</v>
      </c>
    </row>
    <row r="11" spans="1:6" x14ac:dyDescent="0.25">
      <c r="A11" s="4" t="s">
        <v>1386</v>
      </c>
      <c r="B11" s="4" t="s">
        <v>1397</v>
      </c>
      <c r="C11" s="4" t="s">
        <v>1390</v>
      </c>
      <c r="D11" s="19">
        <v>1748</v>
      </c>
      <c r="E11" s="19">
        <v>26</v>
      </c>
      <c r="F11" s="4" t="str">
        <f>IF(COUNTIF('Capas documentadas'!$C$5:$C$170,B11)&gt;0,"Si","NO")</f>
        <v>NO</v>
      </c>
    </row>
    <row r="12" spans="1:6" x14ac:dyDescent="0.25">
      <c r="A12" s="4" t="s">
        <v>1386</v>
      </c>
      <c r="B12" s="4" t="s">
        <v>1398</v>
      </c>
      <c r="C12" s="4" t="s">
        <v>1392</v>
      </c>
      <c r="D12" s="19">
        <v>6</v>
      </c>
      <c r="E12" s="19">
        <v>12</v>
      </c>
      <c r="F12" s="4" t="str">
        <f>IF(COUNTIF('Capas documentadas'!$C$5:$C$170,B12)&gt;0,"Si","NO")</f>
        <v>NO</v>
      </c>
    </row>
    <row r="13" spans="1:6" x14ac:dyDescent="0.25">
      <c r="A13" s="4" t="s">
        <v>1386</v>
      </c>
      <c r="B13" s="4" t="s">
        <v>1399</v>
      </c>
      <c r="C13" s="4" t="s">
        <v>1395</v>
      </c>
      <c r="D13" s="19">
        <v>1733</v>
      </c>
      <c r="E13" s="19">
        <v>12</v>
      </c>
      <c r="F13" s="4" t="str">
        <f>IF(COUNTIF('Capas documentadas'!$C$5:$C$170,B13)&gt;0,"Si","NO")</f>
        <v>NO</v>
      </c>
    </row>
    <row r="14" spans="1:6" x14ac:dyDescent="0.25">
      <c r="A14" s="4" t="s">
        <v>1386</v>
      </c>
      <c r="B14" s="4" t="s">
        <v>1400</v>
      </c>
      <c r="C14" s="4" t="s">
        <v>1390</v>
      </c>
      <c r="D14" s="19">
        <v>1644</v>
      </c>
      <c r="E14" s="19">
        <v>26</v>
      </c>
      <c r="F14" s="4" t="str">
        <f>IF(COUNTIF('Capas documentadas'!$C$5:$C$170,B14)&gt;0,"Si","NO")</f>
        <v>NO</v>
      </c>
    </row>
    <row r="15" spans="1:6" x14ac:dyDescent="0.25">
      <c r="A15" s="4" t="s">
        <v>1386</v>
      </c>
      <c r="B15" s="4" t="s">
        <v>1401</v>
      </c>
      <c r="C15" s="4" t="s">
        <v>1392</v>
      </c>
      <c r="D15" s="19">
        <v>50</v>
      </c>
      <c r="E15" s="19">
        <v>14</v>
      </c>
      <c r="F15" s="4" t="str">
        <f>IF(COUNTIF('Capas documentadas'!$C$5:$C$170,B15)&gt;0,"Si","NO")</f>
        <v>NO</v>
      </c>
    </row>
    <row r="16" spans="1:6" x14ac:dyDescent="0.25">
      <c r="A16" s="4" t="s">
        <v>1386</v>
      </c>
      <c r="B16" s="4" t="s">
        <v>1402</v>
      </c>
      <c r="C16" s="4" t="s">
        <v>1390</v>
      </c>
      <c r="D16" s="19">
        <v>57</v>
      </c>
      <c r="E16" s="19">
        <v>26</v>
      </c>
      <c r="F16" s="4" t="str">
        <f>IF(COUNTIF('Capas documentadas'!$C$5:$C$170,B16)&gt;0,"Si","NO")</f>
        <v>NO</v>
      </c>
    </row>
    <row r="17" spans="1:6" x14ac:dyDescent="0.25">
      <c r="A17" s="4" t="s">
        <v>1386</v>
      </c>
      <c r="B17" s="4" t="s">
        <v>1403</v>
      </c>
      <c r="C17" s="4" t="s">
        <v>1395</v>
      </c>
      <c r="D17" s="19">
        <v>2873</v>
      </c>
      <c r="E17" s="19">
        <v>14</v>
      </c>
      <c r="F17" s="4" t="str">
        <f>IF(COUNTIF('Capas documentadas'!$C$5:$C$170,B17)&gt;0,"Si","NO")</f>
        <v>NO</v>
      </c>
    </row>
    <row r="18" spans="1:6" x14ac:dyDescent="0.25">
      <c r="A18" s="4" t="s">
        <v>1386</v>
      </c>
      <c r="B18" s="4" t="s">
        <v>1404</v>
      </c>
      <c r="C18" s="4" t="s">
        <v>1390</v>
      </c>
      <c r="D18" s="19">
        <v>549</v>
      </c>
      <c r="E18" s="19">
        <v>26</v>
      </c>
      <c r="F18" s="4" t="str">
        <f>IF(COUNTIF('Capas documentadas'!$C$5:$C$170,B18)&gt;0,"Si","NO")</f>
        <v>NO</v>
      </c>
    </row>
    <row r="19" spans="1:6" x14ac:dyDescent="0.25">
      <c r="A19" s="4" t="s">
        <v>1386</v>
      </c>
      <c r="B19" s="4" t="s">
        <v>1405</v>
      </c>
      <c r="C19" s="4" t="s">
        <v>1392</v>
      </c>
      <c r="D19" s="19">
        <v>14</v>
      </c>
      <c r="E19" s="19">
        <v>8</v>
      </c>
      <c r="F19" s="4" t="str">
        <f>IF(COUNTIF('Capas documentadas'!$C$5:$C$170,B19)&gt;0,"Si","NO")</f>
        <v>NO</v>
      </c>
    </row>
    <row r="20" spans="1:6" x14ac:dyDescent="0.25">
      <c r="A20" s="4" t="s">
        <v>1386</v>
      </c>
      <c r="B20" s="4" t="s">
        <v>1406</v>
      </c>
      <c r="C20" s="4" t="s">
        <v>1392</v>
      </c>
      <c r="D20" s="19">
        <v>13</v>
      </c>
      <c r="E20" s="19">
        <v>14</v>
      </c>
      <c r="F20" s="4" t="str">
        <f>IF(COUNTIF('Capas documentadas'!$C$5:$C$170,B20)&gt;0,"Si","NO")</f>
        <v>NO</v>
      </c>
    </row>
    <row r="21" spans="1:6" x14ac:dyDescent="0.25">
      <c r="A21" s="4" t="s">
        <v>1386</v>
      </c>
      <c r="B21" s="4" t="s">
        <v>1407</v>
      </c>
      <c r="C21" s="4" t="s">
        <v>1388</v>
      </c>
      <c r="D21" s="19">
        <v>13</v>
      </c>
      <c r="E21" s="19">
        <v>11</v>
      </c>
      <c r="F21" s="4" t="str">
        <f>IF(COUNTIF('Capas documentadas'!$C$5:$C$170,B21)&gt;0,"Si","NO")</f>
        <v>NO</v>
      </c>
    </row>
    <row r="22" spans="1:6" x14ac:dyDescent="0.25">
      <c r="A22" s="4" t="s">
        <v>1386</v>
      </c>
      <c r="B22" s="4" t="s">
        <v>1408</v>
      </c>
      <c r="C22" s="4" t="s">
        <v>1392</v>
      </c>
      <c r="D22" s="19">
        <v>11</v>
      </c>
      <c r="E22" s="19">
        <v>14</v>
      </c>
      <c r="F22" s="4" t="str">
        <f>IF(COUNTIF('Capas documentadas'!$C$5:$C$170,B22)&gt;0,"Si","NO")</f>
        <v>NO</v>
      </c>
    </row>
    <row r="23" spans="1:6" x14ac:dyDescent="0.25">
      <c r="A23" s="4" t="s">
        <v>1386</v>
      </c>
      <c r="B23" s="4" t="s">
        <v>1409</v>
      </c>
      <c r="C23" s="4" t="s">
        <v>1390</v>
      </c>
      <c r="D23" s="19">
        <v>2</v>
      </c>
      <c r="E23" s="19">
        <v>26</v>
      </c>
      <c r="F23" s="4" t="str">
        <f>IF(COUNTIF('Capas documentadas'!$C$5:$C$170,B23)&gt;0,"Si","NO")</f>
        <v>NO</v>
      </c>
    </row>
    <row r="24" spans="1:6" x14ac:dyDescent="0.25">
      <c r="A24" s="4" t="s">
        <v>1386</v>
      </c>
      <c r="B24" s="4" t="s">
        <v>1410</v>
      </c>
      <c r="C24" s="4" t="s">
        <v>1395</v>
      </c>
      <c r="D24" s="19">
        <v>40</v>
      </c>
      <c r="E24" s="19">
        <v>11</v>
      </c>
      <c r="F24" s="4" t="str">
        <f>IF(COUNTIF('Capas documentadas'!$C$5:$C$170,B24)&gt;0,"Si","NO")</f>
        <v>NO</v>
      </c>
    </row>
    <row r="25" spans="1:6" x14ac:dyDescent="0.25">
      <c r="A25" s="4" t="s">
        <v>1386</v>
      </c>
      <c r="B25" s="4" t="s">
        <v>1411</v>
      </c>
      <c r="C25" s="4" t="s">
        <v>1392</v>
      </c>
      <c r="D25" s="19">
        <v>109</v>
      </c>
      <c r="E25" s="19">
        <v>12</v>
      </c>
      <c r="F25" s="4" t="str">
        <f>IF(COUNTIF('Capas documentadas'!$C$5:$C$170,B25)&gt;0,"Si","NO")</f>
        <v>NO</v>
      </c>
    </row>
    <row r="26" spans="1:6" x14ac:dyDescent="0.25">
      <c r="A26" s="4" t="s">
        <v>1386</v>
      </c>
      <c r="B26" s="4" t="s">
        <v>1412</v>
      </c>
      <c r="C26" s="4" t="s">
        <v>1390</v>
      </c>
      <c r="D26" s="19">
        <v>40</v>
      </c>
      <c r="E26" s="19">
        <v>12</v>
      </c>
      <c r="F26" s="4" t="str">
        <f>IF(COUNTIF('Capas documentadas'!$C$5:$C$170,B26)&gt;0,"Si","NO")</f>
        <v>NO</v>
      </c>
    </row>
    <row r="27" spans="1:6" x14ac:dyDescent="0.25">
      <c r="A27" s="4" t="s">
        <v>1386</v>
      </c>
      <c r="B27" s="4" t="s">
        <v>1413</v>
      </c>
      <c r="C27" s="4" t="s">
        <v>1388</v>
      </c>
      <c r="D27" s="19">
        <v>3</v>
      </c>
      <c r="E27" s="19">
        <v>11</v>
      </c>
      <c r="F27" s="4" t="str">
        <f>IF(COUNTIF('Capas documentadas'!$C$5:$C$170,B27)&gt;0,"Si","NO")</f>
        <v>NO</v>
      </c>
    </row>
    <row r="28" spans="1:6" x14ac:dyDescent="0.25">
      <c r="A28" s="4" t="s">
        <v>1386</v>
      </c>
      <c r="B28" s="4" t="s">
        <v>1414</v>
      </c>
      <c r="C28" s="4" t="s">
        <v>1390</v>
      </c>
      <c r="D28" s="19">
        <v>3</v>
      </c>
      <c r="E28" s="19">
        <v>26</v>
      </c>
      <c r="F28" s="4" t="str">
        <f>IF(COUNTIF('Capas documentadas'!$C$5:$C$170,B28)&gt;0,"Si","NO")</f>
        <v>NO</v>
      </c>
    </row>
    <row r="29" spans="1:6" x14ac:dyDescent="0.25">
      <c r="A29" s="4" t="s">
        <v>1386</v>
      </c>
      <c r="B29" s="4" t="s">
        <v>1415</v>
      </c>
      <c r="C29" s="4" t="s">
        <v>1388</v>
      </c>
      <c r="D29" s="19">
        <v>198</v>
      </c>
      <c r="E29" s="19">
        <v>12</v>
      </c>
      <c r="F29" s="4" t="str">
        <f>IF(COUNTIF('Capas documentadas'!$C$5:$C$170,B29)&gt;0,"Si","NO")</f>
        <v>NO</v>
      </c>
    </row>
    <row r="30" spans="1:6" x14ac:dyDescent="0.25">
      <c r="A30" s="4" t="s">
        <v>1386</v>
      </c>
      <c r="B30" s="4" t="s">
        <v>1416</v>
      </c>
      <c r="C30" s="4" t="s">
        <v>1390</v>
      </c>
      <c r="D30" s="19">
        <v>205</v>
      </c>
      <c r="E30" s="19">
        <v>26</v>
      </c>
      <c r="F30" s="4" t="str">
        <f>IF(COUNTIF('Capas documentadas'!$C$5:$C$170,B30)&gt;0,"Si","NO")</f>
        <v>NO</v>
      </c>
    </row>
    <row r="31" spans="1:6" x14ac:dyDescent="0.25">
      <c r="A31" s="4" t="s">
        <v>1386</v>
      </c>
      <c r="B31" s="4" t="s">
        <v>1417</v>
      </c>
      <c r="C31" s="4" t="s">
        <v>1418</v>
      </c>
      <c r="D31" s="19">
        <v>39</v>
      </c>
      <c r="E31" s="19">
        <v>12</v>
      </c>
      <c r="F31" s="4" t="str">
        <f>IF(COUNTIF('Capas documentadas'!$C$5:$C$170,B31)&gt;0,"Si","NO")</f>
        <v>NO</v>
      </c>
    </row>
    <row r="32" spans="1:6" x14ac:dyDescent="0.25">
      <c r="A32" s="4" t="s">
        <v>1386</v>
      </c>
      <c r="B32" s="4" t="s">
        <v>1419</v>
      </c>
      <c r="C32" s="4" t="s">
        <v>1390</v>
      </c>
      <c r="D32" s="19">
        <v>32</v>
      </c>
      <c r="E32" s="19">
        <v>26</v>
      </c>
      <c r="F32" s="4" t="str">
        <f>IF(COUNTIF('Capas documentadas'!$C$5:$C$170,B32)&gt;0,"Si","NO")</f>
        <v>NO</v>
      </c>
    </row>
    <row r="33" spans="1:6" x14ac:dyDescent="0.25">
      <c r="A33" s="4" t="s">
        <v>1386</v>
      </c>
      <c r="B33" s="4" t="s">
        <v>1420</v>
      </c>
      <c r="C33" s="4" t="s">
        <v>1392</v>
      </c>
      <c r="D33" s="19">
        <v>2</v>
      </c>
      <c r="E33" s="19">
        <v>14</v>
      </c>
      <c r="F33" s="4" t="str">
        <f>IF(COUNTIF('Capas documentadas'!$C$5:$C$170,B33)&gt;0,"Si","NO")</f>
        <v>NO</v>
      </c>
    </row>
    <row r="34" spans="1:6" x14ac:dyDescent="0.25">
      <c r="A34" s="4" t="s">
        <v>1386</v>
      </c>
      <c r="B34" s="4" t="s">
        <v>1421</v>
      </c>
      <c r="C34" s="4" t="s">
        <v>1392</v>
      </c>
      <c r="D34" s="19">
        <v>1</v>
      </c>
      <c r="E34" s="19">
        <v>13</v>
      </c>
      <c r="F34" s="4" t="str">
        <f>IF(COUNTIF('Capas documentadas'!$C$5:$C$170,B34)&gt;0,"Si","NO")</f>
        <v>NO</v>
      </c>
    </row>
    <row r="35" spans="1:6" x14ac:dyDescent="0.25">
      <c r="A35" s="4" t="s">
        <v>1386</v>
      </c>
      <c r="B35" s="4" t="s">
        <v>1422</v>
      </c>
      <c r="C35" s="4" t="s">
        <v>1395</v>
      </c>
      <c r="D35" s="19">
        <v>10</v>
      </c>
      <c r="E35" s="19">
        <v>13</v>
      </c>
      <c r="F35" s="4" t="str">
        <f>IF(COUNTIF('Capas documentadas'!$C$5:$C$170,B35)&gt;0,"Si","NO")</f>
        <v>NO</v>
      </c>
    </row>
    <row r="36" spans="1:6" x14ac:dyDescent="0.25">
      <c r="A36" s="4" t="s">
        <v>1386</v>
      </c>
      <c r="B36" s="4" t="s">
        <v>1423</v>
      </c>
      <c r="C36" s="4" t="s">
        <v>1388</v>
      </c>
      <c r="D36" s="19">
        <v>156</v>
      </c>
      <c r="E36" s="19">
        <v>13</v>
      </c>
      <c r="F36" s="4" t="str">
        <f>IF(COUNTIF('Capas documentadas'!$C$5:$C$170,B36)&gt;0,"Si","NO")</f>
        <v>NO</v>
      </c>
    </row>
    <row r="37" spans="1:6" x14ac:dyDescent="0.25">
      <c r="A37" s="4" t="s">
        <v>1386</v>
      </c>
      <c r="B37" s="4" t="s">
        <v>1424</v>
      </c>
      <c r="C37" s="4" t="s">
        <v>1388</v>
      </c>
      <c r="D37" s="19">
        <v>219</v>
      </c>
      <c r="E37" s="19">
        <v>10</v>
      </c>
      <c r="F37" s="4" t="str">
        <f>IF(COUNTIF('Capas documentadas'!$C$5:$C$170,B37)&gt;0,"Si","NO")</f>
        <v>NO</v>
      </c>
    </row>
    <row r="38" spans="1:6" x14ac:dyDescent="0.25">
      <c r="A38" s="4" t="s">
        <v>1386</v>
      </c>
      <c r="B38" s="4" t="s">
        <v>1425</v>
      </c>
      <c r="C38" s="4" t="s">
        <v>1390</v>
      </c>
      <c r="D38" s="19">
        <v>228</v>
      </c>
      <c r="E38" s="19">
        <v>26</v>
      </c>
      <c r="F38" s="4" t="str">
        <f>IF(COUNTIF('Capas documentadas'!$C$5:$C$170,B38)&gt;0,"Si","NO")</f>
        <v>NO</v>
      </c>
    </row>
    <row r="39" spans="1:6" x14ac:dyDescent="0.25">
      <c r="A39" s="4" t="s">
        <v>1386</v>
      </c>
      <c r="B39" s="4" t="s">
        <v>1426</v>
      </c>
      <c r="C39" s="4" t="s">
        <v>1388</v>
      </c>
      <c r="D39" s="19">
        <v>1</v>
      </c>
      <c r="E39" s="19">
        <v>12</v>
      </c>
      <c r="F39" s="4" t="str">
        <f>IF(COUNTIF('Capas documentadas'!$C$5:$C$170,B39)&gt;0,"Si","NO")</f>
        <v>NO</v>
      </c>
    </row>
    <row r="40" spans="1:6" x14ac:dyDescent="0.25">
      <c r="A40" s="4" t="s">
        <v>1386</v>
      </c>
      <c r="B40" s="4" t="s">
        <v>1427</v>
      </c>
      <c r="C40" s="4" t="s">
        <v>1390</v>
      </c>
      <c r="D40" s="19">
        <v>1</v>
      </c>
      <c r="E40" s="19">
        <v>25</v>
      </c>
      <c r="F40" s="4" t="str">
        <f>IF(COUNTIF('Capas documentadas'!$C$5:$C$170,B40)&gt;0,"Si","NO")</f>
        <v>NO</v>
      </c>
    </row>
    <row r="41" spans="1:6" x14ac:dyDescent="0.25">
      <c r="A41" s="4" t="s">
        <v>1386</v>
      </c>
      <c r="B41" s="4" t="s">
        <v>1428</v>
      </c>
      <c r="C41" s="4" t="s">
        <v>1395</v>
      </c>
      <c r="D41" s="19">
        <v>1772</v>
      </c>
      <c r="E41" s="19">
        <v>17</v>
      </c>
      <c r="F41" s="4" t="str">
        <f>IF(COUNTIF('Capas documentadas'!$C$5:$C$170,B41)&gt;0,"Si","NO")</f>
        <v>NO</v>
      </c>
    </row>
    <row r="42" spans="1:6" x14ac:dyDescent="0.25">
      <c r="A42" s="4" t="s">
        <v>1429</v>
      </c>
      <c r="B42" s="4" t="s">
        <v>1430</v>
      </c>
      <c r="C42" s="4" t="s">
        <v>1390</v>
      </c>
      <c r="D42" s="19">
        <v>1</v>
      </c>
      <c r="E42" s="19">
        <v>4</v>
      </c>
      <c r="F42" s="4" t="str">
        <f>IF(COUNTIF('Capas documentadas'!$C$5:$C$170,B42)&gt;0,"Si","NO")</f>
        <v>NO</v>
      </c>
    </row>
    <row r="43" spans="1:6" x14ac:dyDescent="0.25">
      <c r="A43" s="4" t="s">
        <v>1429</v>
      </c>
      <c r="B43" s="4" t="s">
        <v>1431</v>
      </c>
      <c r="C43" s="4" t="s">
        <v>1390</v>
      </c>
      <c r="D43" s="19">
        <v>1</v>
      </c>
      <c r="E43" s="19">
        <v>11</v>
      </c>
      <c r="F43" s="4" t="str">
        <f>IF(COUNTIF('Capas documentadas'!$C$5:$C$170,B43)&gt;0,"Si","NO")</f>
        <v>NO</v>
      </c>
    </row>
    <row r="44" spans="1:6" x14ac:dyDescent="0.25">
      <c r="A44" s="4" t="s">
        <v>1429</v>
      </c>
      <c r="B44" s="4" t="s">
        <v>1432</v>
      </c>
      <c r="C44" s="4" t="s">
        <v>1390</v>
      </c>
      <c r="D44" s="19">
        <v>2</v>
      </c>
      <c r="E44" s="19">
        <v>3</v>
      </c>
      <c r="F44" s="4" t="str">
        <f>IF(COUNTIF('Capas documentadas'!$C$5:$C$170,B44)&gt;0,"Si","NO")</f>
        <v>NO</v>
      </c>
    </row>
    <row r="45" spans="1:6" x14ac:dyDescent="0.25">
      <c r="A45" s="4" t="s">
        <v>1429</v>
      </c>
      <c r="B45" s="4" t="s">
        <v>1433</v>
      </c>
      <c r="C45" s="4" t="s">
        <v>1390</v>
      </c>
      <c r="D45" s="19">
        <v>2</v>
      </c>
      <c r="E45" s="19">
        <v>15</v>
      </c>
      <c r="F45" s="4" t="str">
        <f>IF(COUNTIF('Capas documentadas'!$C$5:$C$170,B45)&gt;0,"Si","NO")</f>
        <v>NO</v>
      </c>
    </row>
    <row r="46" spans="1:6" x14ac:dyDescent="0.25">
      <c r="A46" s="4" t="s">
        <v>1429</v>
      </c>
      <c r="B46" s="4" t="s">
        <v>1434</v>
      </c>
      <c r="C46" s="4" t="s">
        <v>1390</v>
      </c>
      <c r="D46" s="19">
        <v>2</v>
      </c>
      <c r="E46" s="19">
        <v>11</v>
      </c>
      <c r="F46" s="4" t="str">
        <f>IF(COUNTIF('Capas documentadas'!$C$5:$C$170,B46)&gt;0,"Si","NO")</f>
        <v>NO</v>
      </c>
    </row>
    <row r="47" spans="1:6" x14ac:dyDescent="0.25">
      <c r="A47" s="4" t="s">
        <v>1429</v>
      </c>
      <c r="B47" s="4" t="s">
        <v>1435</v>
      </c>
      <c r="C47" s="4" t="s">
        <v>1392</v>
      </c>
      <c r="D47" s="19">
        <v>1</v>
      </c>
      <c r="E47" s="19">
        <v>4</v>
      </c>
      <c r="F47" s="4" t="str">
        <f>IF(COUNTIF('Capas documentadas'!$C$5:$C$170,B47)&gt;0,"Si","NO")</f>
        <v>NO</v>
      </c>
    </row>
    <row r="48" spans="1:6" x14ac:dyDescent="0.25">
      <c r="A48" s="4" t="s">
        <v>1429</v>
      </c>
      <c r="B48" s="4" t="s">
        <v>1436</v>
      </c>
      <c r="C48" s="4" t="s">
        <v>1390</v>
      </c>
      <c r="D48" s="19">
        <v>12855</v>
      </c>
      <c r="E48" s="19">
        <v>9</v>
      </c>
      <c r="F48" s="4" t="str">
        <f>IF(COUNTIF('Capas documentadas'!$C$5:$C$170,B48)&gt;0,"Si","NO")</f>
        <v>NO</v>
      </c>
    </row>
    <row r="49" spans="1:6" x14ac:dyDescent="0.25">
      <c r="A49" s="4" t="s">
        <v>1429</v>
      </c>
      <c r="B49" s="4" t="s">
        <v>1437</v>
      </c>
      <c r="C49" s="4" t="s">
        <v>1390</v>
      </c>
      <c r="D49" s="19">
        <v>8</v>
      </c>
      <c r="E49" s="19">
        <v>31</v>
      </c>
      <c r="F49" s="4" t="str">
        <f>IF(COUNTIF('Capas documentadas'!$C$5:$C$170,B49)&gt;0,"Si","NO")</f>
        <v>NO</v>
      </c>
    </row>
    <row r="50" spans="1:6" x14ac:dyDescent="0.25">
      <c r="A50" s="4" t="s">
        <v>1429</v>
      </c>
      <c r="B50" s="4" t="s">
        <v>1438</v>
      </c>
      <c r="C50" s="4" t="s">
        <v>1390</v>
      </c>
      <c r="D50" s="19">
        <v>49</v>
      </c>
      <c r="E50" s="19">
        <v>10</v>
      </c>
      <c r="F50" s="4" t="str">
        <f>IF(COUNTIF('Capas documentadas'!$C$5:$C$170,B50)&gt;0,"Si","NO")</f>
        <v>NO</v>
      </c>
    </row>
    <row r="51" spans="1:6" x14ac:dyDescent="0.25">
      <c r="A51" s="4" t="s">
        <v>1429</v>
      </c>
      <c r="B51" s="4" t="s">
        <v>1439</v>
      </c>
      <c r="C51" s="4" t="s">
        <v>1440</v>
      </c>
      <c r="D51" s="19">
        <v>15</v>
      </c>
      <c r="E51" s="19">
        <v>4</v>
      </c>
      <c r="F51" s="4" t="str">
        <f>IF(COUNTIF('Capas documentadas'!$C$5:$C$170,B51)&gt;0,"Si","NO")</f>
        <v>NO</v>
      </c>
    </row>
    <row r="52" spans="1:6" x14ac:dyDescent="0.25">
      <c r="A52" s="4" t="s">
        <v>1429</v>
      </c>
      <c r="B52" s="4" t="s">
        <v>1441</v>
      </c>
      <c r="C52" s="4" t="s">
        <v>1390</v>
      </c>
      <c r="D52" s="19">
        <v>10</v>
      </c>
      <c r="E52" s="19">
        <v>6</v>
      </c>
      <c r="F52" s="4" t="str">
        <f>IF(COUNTIF('Capas documentadas'!$C$5:$C$170,B52)&gt;0,"Si","NO")</f>
        <v>NO</v>
      </c>
    </row>
    <row r="53" spans="1:6" x14ac:dyDescent="0.25">
      <c r="A53" s="4" t="s">
        <v>1429</v>
      </c>
      <c r="B53" s="4" t="s">
        <v>1442</v>
      </c>
      <c r="C53" s="4" t="s">
        <v>1390</v>
      </c>
      <c r="D53" s="19">
        <v>194</v>
      </c>
      <c r="E53" s="19">
        <v>9</v>
      </c>
      <c r="F53" s="4" t="str">
        <f>IF(COUNTIF('Capas documentadas'!$C$5:$C$170,B53)&gt;0,"Si","NO")</f>
        <v>NO</v>
      </c>
    </row>
    <row r="54" spans="1:6" x14ac:dyDescent="0.25">
      <c r="A54" s="4" t="s">
        <v>1429</v>
      </c>
      <c r="B54" s="4" t="s">
        <v>1443</v>
      </c>
      <c r="C54" s="4" t="s">
        <v>1390</v>
      </c>
      <c r="D54" s="19">
        <v>2847</v>
      </c>
      <c r="E54" s="19">
        <v>15</v>
      </c>
      <c r="F54" s="4" t="str">
        <f>IF(COUNTIF('Capas documentadas'!$C$5:$C$170,B54)&gt;0,"Si","NO")</f>
        <v>NO</v>
      </c>
    </row>
    <row r="55" spans="1:6" x14ac:dyDescent="0.25">
      <c r="A55" s="4" t="s">
        <v>1429</v>
      </c>
      <c r="B55" s="4" t="s">
        <v>1444</v>
      </c>
      <c r="C55" s="4" t="s">
        <v>1390</v>
      </c>
      <c r="D55" s="19">
        <v>2457</v>
      </c>
      <c r="E55" s="19">
        <v>19</v>
      </c>
      <c r="F55" s="4" t="str">
        <f>IF(COUNTIF('Capas documentadas'!$C$5:$C$170,B55)&gt;0,"Si","NO")</f>
        <v>NO</v>
      </c>
    </row>
    <row r="56" spans="1:6" x14ac:dyDescent="0.25">
      <c r="A56" s="4" t="s">
        <v>1429</v>
      </c>
      <c r="B56" s="4" t="s">
        <v>1445</v>
      </c>
      <c r="C56" s="4" t="s">
        <v>1390</v>
      </c>
      <c r="D56" s="19">
        <v>17</v>
      </c>
      <c r="E56" s="19">
        <v>12</v>
      </c>
      <c r="F56" s="4" t="str">
        <f>IF(COUNTIF('Capas documentadas'!$C$5:$C$170,B56)&gt;0,"Si","NO")</f>
        <v>NO</v>
      </c>
    </row>
    <row r="57" spans="1:6" x14ac:dyDescent="0.25">
      <c r="A57" s="4" t="s">
        <v>1429</v>
      </c>
      <c r="B57" s="4" t="s">
        <v>1446</v>
      </c>
      <c r="C57" s="4" t="s">
        <v>1390</v>
      </c>
      <c r="D57" s="19">
        <v>6</v>
      </c>
      <c r="E57" s="19">
        <v>9</v>
      </c>
      <c r="F57" s="4" t="str">
        <f>IF(COUNTIF('Capas documentadas'!$C$5:$C$170,B57)&gt;0,"Si","NO")</f>
        <v>NO</v>
      </c>
    </row>
    <row r="58" spans="1:6" x14ac:dyDescent="0.25">
      <c r="A58" s="4" t="s">
        <v>1429</v>
      </c>
      <c r="B58" s="4" t="s">
        <v>1447</v>
      </c>
      <c r="C58" s="4" t="s">
        <v>1390</v>
      </c>
      <c r="D58" s="19">
        <v>3</v>
      </c>
      <c r="E58" s="19">
        <v>6</v>
      </c>
      <c r="F58" s="4" t="str">
        <f>IF(COUNTIF('Capas documentadas'!$C$5:$C$170,B58)&gt;0,"Si","NO")</f>
        <v>NO</v>
      </c>
    </row>
    <row r="59" spans="1:6" x14ac:dyDescent="0.25">
      <c r="A59" s="4" t="s">
        <v>1429</v>
      </c>
      <c r="B59" s="4" t="s">
        <v>1448</v>
      </c>
      <c r="C59" s="4" t="s">
        <v>1390</v>
      </c>
      <c r="D59" s="19">
        <v>1</v>
      </c>
      <c r="E59" s="19">
        <v>35</v>
      </c>
      <c r="F59" s="4" t="str">
        <f>IF(COUNTIF('Capas documentadas'!$C$5:$C$170,B59)&gt;0,"Si","NO")</f>
        <v>NO</v>
      </c>
    </row>
    <row r="60" spans="1:6" x14ac:dyDescent="0.25">
      <c r="A60" s="4" t="s">
        <v>1429</v>
      </c>
      <c r="B60" s="4" t="s">
        <v>54</v>
      </c>
      <c r="C60" s="4" t="s">
        <v>1392</v>
      </c>
      <c r="D60" s="19">
        <v>3</v>
      </c>
      <c r="E60" s="19">
        <v>4</v>
      </c>
      <c r="F60" s="4" t="str">
        <f>IF(COUNTIF('Capas documentadas'!$C$5:$C$170,B60)&gt;0,"Si","NO")</f>
        <v>NO</v>
      </c>
    </row>
    <row r="61" spans="1:6" x14ac:dyDescent="0.25">
      <c r="A61" s="4" t="s">
        <v>1429</v>
      </c>
      <c r="B61" s="4" t="s">
        <v>1449</v>
      </c>
      <c r="C61" s="4" t="s">
        <v>1392</v>
      </c>
      <c r="D61" s="19">
        <v>14</v>
      </c>
      <c r="E61" s="19">
        <v>7</v>
      </c>
      <c r="F61" s="4" t="str">
        <f>IF(COUNTIF('Capas documentadas'!$C$5:$C$170,B61)&gt;0,"Si","NO")</f>
        <v>NO</v>
      </c>
    </row>
    <row r="62" spans="1:6" x14ac:dyDescent="0.25">
      <c r="A62" s="4" t="s">
        <v>1429</v>
      </c>
      <c r="B62" s="4" t="s">
        <v>1450</v>
      </c>
      <c r="C62" s="4" t="s">
        <v>1390</v>
      </c>
      <c r="D62" s="19">
        <v>4</v>
      </c>
      <c r="E62" s="19">
        <v>4</v>
      </c>
      <c r="F62" s="4" t="str">
        <f>IF(COUNTIF('Capas documentadas'!$C$5:$C$170,B62)&gt;0,"Si","NO")</f>
        <v>NO</v>
      </c>
    </row>
    <row r="63" spans="1:6" x14ac:dyDescent="0.25">
      <c r="A63" s="4" t="s">
        <v>1429</v>
      </c>
      <c r="B63" s="4" t="s">
        <v>1451</v>
      </c>
      <c r="C63" s="4" t="s">
        <v>1390</v>
      </c>
      <c r="D63" s="19">
        <v>11</v>
      </c>
      <c r="E63" s="19">
        <v>25</v>
      </c>
      <c r="F63" s="4" t="str">
        <f>IF(COUNTIF('Capas documentadas'!$C$5:$C$170,B63)&gt;0,"Si","NO")</f>
        <v>NO</v>
      </c>
    </row>
    <row r="64" spans="1:6" x14ac:dyDescent="0.25">
      <c r="A64" s="4" t="s">
        <v>1429</v>
      </c>
      <c r="B64" s="4" t="s">
        <v>1452</v>
      </c>
      <c r="C64" s="4" t="s">
        <v>1390</v>
      </c>
      <c r="D64" s="19">
        <v>7</v>
      </c>
      <c r="E64" s="19">
        <v>33</v>
      </c>
      <c r="F64" s="4" t="str">
        <f>IF(COUNTIF('Capas documentadas'!$C$5:$C$170,B64)&gt;0,"Si","NO")</f>
        <v>NO</v>
      </c>
    </row>
    <row r="65" spans="1:6" x14ac:dyDescent="0.25">
      <c r="A65" s="4" t="s">
        <v>1429</v>
      </c>
      <c r="B65" s="4" t="s">
        <v>55</v>
      </c>
      <c r="C65" s="4" t="s">
        <v>1390</v>
      </c>
      <c r="D65" s="19">
        <v>16</v>
      </c>
      <c r="E65" s="19">
        <v>74</v>
      </c>
      <c r="F65" s="4" t="str">
        <f>IF(COUNTIF('Capas documentadas'!$C$5:$C$170,B65)&gt;0,"Si","NO")</f>
        <v>NO</v>
      </c>
    </row>
    <row r="66" spans="1:6" x14ac:dyDescent="0.25">
      <c r="A66" s="4" t="s">
        <v>1429</v>
      </c>
      <c r="B66" s="4" t="s">
        <v>1453</v>
      </c>
      <c r="C66" s="4" t="s">
        <v>1390</v>
      </c>
      <c r="D66" s="19">
        <v>7</v>
      </c>
      <c r="E66" s="19">
        <v>25</v>
      </c>
      <c r="F66" s="4" t="str">
        <f>IF(COUNTIF('Capas documentadas'!$C$5:$C$170,B66)&gt;0,"Si","NO")</f>
        <v>NO</v>
      </c>
    </row>
    <row r="67" spans="1:6" x14ac:dyDescent="0.25">
      <c r="A67" s="4" t="s">
        <v>1429</v>
      </c>
      <c r="B67" s="4" t="s">
        <v>1454</v>
      </c>
      <c r="C67" s="4" t="s">
        <v>1392</v>
      </c>
      <c r="D67" s="19">
        <v>17</v>
      </c>
      <c r="E67" s="19">
        <v>10</v>
      </c>
      <c r="F67" s="4" t="str">
        <f>IF(COUNTIF('Capas documentadas'!$C$5:$C$170,B67)&gt;0,"Si","NO")</f>
        <v>NO</v>
      </c>
    </row>
    <row r="68" spans="1:6" x14ac:dyDescent="0.25">
      <c r="A68" s="4" t="s">
        <v>1429</v>
      </c>
      <c r="B68" s="4" t="s">
        <v>1277</v>
      </c>
      <c r="C68" s="4" t="s">
        <v>1390</v>
      </c>
      <c r="D68" s="19">
        <v>45813</v>
      </c>
      <c r="E68" s="19">
        <v>9</v>
      </c>
      <c r="F68" s="4" t="str">
        <f>IF(COUNTIF('Capas documentadas'!$C$5:$C$170,B68)&gt;0,"Si","NO")</f>
        <v>Si</v>
      </c>
    </row>
    <row r="69" spans="1:6" x14ac:dyDescent="0.25">
      <c r="A69" s="4" t="s">
        <v>1429</v>
      </c>
      <c r="B69" s="4" t="s">
        <v>1455</v>
      </c>
      <c r="C69" s="4" t="s">
        <v>1390</v>
      </c>
      <c r="D69" s="19">
        <v>119808</v>
      </c>
      <c r="E69" s="19">
        <v>5</v>
      </c>
      <c r="F69" s="4" t="str">
        <f>IF(COUNTIF('Capas documentadas'!$C$5:$C$170,B69)&gt;0,"Si","NO")</f>
        <v>NO</v>
      </c>
    </row>
    <row r="70" spans="1:6" x14ac:dyDescent="0.25">
      <c r="A70" s="4" t="s">
        <v>1429</v>
      </c>
      <c r="B70" s="4" t="s">
        <v>1456</v>
      </c>
      <c r="C70" s="4" t="s">
        <v>1390</v>
      </c>
      <c r="D70" s="19">
        <v>11</v>
      </c>
      <c r="E70" s="19">
        <v>3</v>
      </c>
      <c r="F70" s="4" t="str">
        <f>IF(COUNTIF('Capas documentadas'!$C$5:$C$170,B70)&gt;0,"Si","NO")</f>
        <v>NO</v>
      </c>
    </row>
    <row r="71" spans="1:6" x14ac:dyDescent="0.25">
      <c r="A71" s="4" t="s">
        <v>1429</v>
      </c>
      <c r="B71" s="4" t="s">
        <v>1457</v>
      </c>
      <c r="C71" s="4" t="s">
        <v>1390</v>
      </c>
      <c r="D71" s="19">
        <v>2</v>
      </c>
      <c r="E71" s="19">
        <v>2</v>
      </c>
      <c r="F71" s="4" t="str">
        <f>IF(COUNTIF('Capas documentadas'!$C$5:$C$170,B71)&gt;0,"Si","NO")</f>
        <v>NO</v>
      </c>
    </row>
    <row r="72" spans="1:6" x14ac:dyDescent="0.25">
      <c r="A72" s="4" t="s">
        <v>1429</v>
      </c>
      <c r="B72" s="4" t="s">
        <v>1458</v>
      </c>
      <c r="C72" s="4" t="s">
        <v>1390</v>
      </c>
      <c r="D72" s="19">
        <v>1</v>
      </c>
      <c r="E72" s="19">
        <v>9</v>
      </c>
      <c r="F72" s="4" t="str">
        <f>IF(COUNTIF('Capas documentadas'!$C$5:$C$170,B72)&gt;0,"Si","NO")</f>
        <v>NO</v>
      </c>
    </row>
    <row r="73" spans="1:6" x14ac:dyDescent="0.25">
      <c r="A73" s="4" t="s">
        <v>1429</v>
      </c>
      <c r="B73" s="4" t="s">
        <v>1375</v>
      </c>
      <c r="C73" s="4" t="s">
        <v>1418</v>
      </c>
      <c r="D73" s="19">
        <v>5</v>
      </c>
      <c r="E73" s="19">
        <v>24</v>
      </c>
      <c r="F73" s="4" t="str">
        <f>IF(COUNTIF('Capas documentadas'!$C$5:$C$170,B73)&gt;0,"Si","NO")</f>
        <v>Si</v>
      </c>
    </row>
    <row r="74" spans="1:6" x14ac:dyDescent="0.25">
      <c r="A74" s="4" t="s">
        <v>1429</v>
      </c>
      <c r="B74" s="4" t="s">
        <v>1368</v>
      </c>
      <c r="C74" s="4" t="s">
        <v>1418</v>
      </c>
      <c r="D74" s="19">
        <v>54</v>
      </c>
      <c r="E74" s="19">
        <v>35</v>
      </c>
      <c r="F74" s="4" t="str">
        <f>IF(COUNTIF('Capas documentadas'!$C$5:$C$170,B74)&gt;0,"Si","NO")</f>
        <v>Si</v>
      </c>
    </row>
    <row r="75" spans="1:6" x14ac:dyDescent="0.25">
      <c r="A75" s="4" t="s">
        <v>1429</v>
      </c>
      <c r="B75" s="4" t="s">
        <v>1459</v>
      </c>
      <c r="C75" s="4" t="s">
        <v>1390</v>
      </c>
      <c r="D75" s="19">
        <v>1</v>
      </c>
      <c r="E75" s="19">
        <v>7</v>
      </c>
      <c r="F75" s="4" t="str">
        <f>IF(COUNTIF('Capas documentadas'!$C$5:$C$170,B75)&gt;0,"Si","NO")</f>
        <v>NO</v>
      </c>
    </row>
    <row r="76" spans="1:6" x14ac:dyDescent="0.25">
      <c r="A76" s="4" t="s">
        <v>1429</v>
      </c>
      <c r="B76" s="4" t="s">
        <v>1460</v>
      </c>
      <c r="C76" s="4" t="s">
        <v>1418</v>
      </c>
      <c r="D76" s="19">
        <v>1</v>
      </c>
      <c r="E76" s="19">
        <v>19</v>
      </c>
      <c r="F76" s="4" t="str">
        <f>IF(COUNTIF('Capas documentadas'!$C$5:$C$170,B76)&gt;0,"Si","NO")</f>
        <v>NO</v>
      </c>
    </row>
    <row r="77" spans="1:6" x14ac:dyDescent="0.25">
      <c r="A77" s="4" t="s">
        <v>1429</v>
      </c>
      <c r="B77" s="4" t="s">
        <v>1461</v>
      </c>
      <c r="C77" s="4" t="s">
        <v>1390</v>
      </c>
      <c r="D77" s="19">
        <v>1</v>
      </c>
      <c r="E77" s="19">
        <v>12</v>
      </c>
      <c r="F77" s="4" t="str">
        <f>IF(COUNTIF('Capas documentadas'!$C$5:$C$170,B77)&gt;0,"Si","NO")</f>
        <v>NO</v>
      </c>
    </row>
    <row r="78" spans="1:6" x14ac:dyDescent="0.25">
      <c r="A78" s="4" t="s">
        <v>1429</v>
      </c>
      <c r="B78" s="4" t="s">
        <v>1462</v>
      </c>
      <c r="C78" s="4" t="s">
        <v>1390</v>
      </c>
      <c r="D78" s="19">
        <v>17</v>
      </c>
      <c r="E78" s="19">
        <v>35</v>
      </c>
      <c r="F78" s="4" t="str">
        <f>IF(COUNTIF('Capas documentadas'!$C$5:$C$170,B78)&gt;0,"Si","NO")</f>
        <v>NO</v>
      </c>
    </row>
    <row r="79" spans="1:6" x14ac:dyDescent="0.25">
      <c r="A79" s="4" t="s">
        <v>1429</v>
      </c>
      <c r="B79" s="4" t="s">
        <v>1367</v>
      </c>
      <c r="C79" s="4" t="s">
        <v>1390</v>
      </c>
      <c r="D79" s="19">
        <v>0</v>
      </c>
      <c r="E79" s="19">
        <v>16</v>
      </c>
      <c r="F79" s="4" t="str">
        <f>IF(COUNTIF('Capas documentadas'!$C$5:$C$170,B79)&gt;0,"Si","NO")</f>
        <v>Si</v>
      </c>
    </row>
    <row r="80" spans="1:6" x14ac:dyDescent="0.25">
      <c r="A80" s="4" t="s">
        <v>1429</v>
      </c>
      <c r="B80" s="4" t="s">
        <v>1463</v>
      </c>
      <c r="C80" s="4" t="s">
        <v>1390</v>
      </c>
      <c r="D80" s="19">
        <v>87</v>
      </c>
      <c r="E80" s="19">
        <v>12</v>
      </c>
      <c r="F80" s="4" t="str">
        <f>IF(COUNTIF('Capas documentadas'!$C$5:$C$170,B80)&gt;0,"Si","NO")</f>
        <v>NO</v>
      </c>
    </row>
    <row r="81" spans="1:6" x14ac:dyDescent="0.25">
      <c r="A81" s="4" t="s">
        <v>1429</v>
      </c>
      <c r="B81" s="4" t="s">
        <v>1464</v>
      </c>
      <c r="C81" s="4" t="s">
        <v>1390</v>
      </c>
      <c r="D81" s="19">
        <v>135</v>
      </c>
      <c r="E81" s="19">
        <v>19</v>
      </c>
      <c r="F81" s="4" t="str">
        <f>IF(COUNTIF('Capas documentadas'!$C$5:$C$170,B81)&gt;0,"Si","NO")</f>
        <v>NO</v>
      </c>
    </row>
    <row r="82" spans="1:6" x14ac:dyDescent="0.25">
      <c r="A82" s="4" t="s">
        <v>1429</v>
      </c>
      <c r="B82" s="4" t="s">
        <v>1465</v>
      </c>
      <c r="C82" s="4" t="s">
        <v>1390</v>
      </c>
      <c r="D82" s="19">
        <v>134</v>
      </c>
      <c r="E82" s="19">
        <v>7</v>
      </c>
      <c r="F82" s="4" t="str">
        <f>IF(COUNTIF('Capas documentadas'!$C$5:$C$170,B82)&gt;0,"Si","NO")</f>
        <v>NO</v>
      </c>
    </row>
    <row r="84" spans="1:6" x14ac:dyDescent="0.25">
      <c r="A84" s="3" t="s">
        <v>1466</v>
      </c>
      <c r="B84" s="6">
        <f>COUNTA(B5:B82)</f>
        <v>78</v>
      </c>
    </row>
    <row r="85" spans="1:6" x14ac:dyDescent="0.25">
      <c r="A85" s="3" t="s">
        <v>1467</v>
      </c>
      <c r="B85" s="6">
        <f>COUNTIF(F5:F82,"Si")</f>
        <v>4</v>
      </c>
    </row>
    <row r="86" spans="1:6" x14ac:dyDescent="0.25">
      <c r="A86" s="3" t="s">
        <v>1468</v>
      </c>
      <c r="B86" s="9">
        <f>COUNTIF(F5:F82,"NO")</f>
        <v>74</v>
      </c>
    </row>
    <row r="88" spans="1:6" ht="45.95" customHeight="1" x14ac:dyDescent="0.25">
      <c r="A88" s="8" t="s">
        <v>1469</v>
      </c>
      <c r="B88" s="47" t="s">
        <v>1470</v>
      </c>
      <c r="C88" s="45"/>
      <c r="D88" s="45"/>
      <c r="E88" s="45"/>
      <c r="F88" s="46"/>
    </row>
  </sheetData>
  <autoFilter ref="A4:F82" xr:uid="{00000000-0009-0000-0000-000008000000}"/>
  <mergeCells count="1">
    <mergeCell ref="B88:F8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24" customWidth="1"/>
    <col min="3" max="3" width="22" customWidth="1"/>
    <col min="4" max="4" width="12" customWidth="1"/>
    <col min="5" max="5" width="8" customWidth="1"/>
    <col min="6" max="6" width="9" customWidth="1"/>
    <col min="7" max="7" width="62" customWidth="1"/>
    <col min="8" max="8" width="58" customWidth="1"/>
    <col min="9" max="9" width="40" customWidth="1"/>
  </cols>
  <sheetData>
    <row r="1" spans="1:9" ht="18" x14ac:dyDescent="0.25">
      <c r="A1" s="25" t="s">
        <v>1471</v>
      </c>
    </row>
    <row r="2" spans="1:9" x14ac:dyDescent="0.25">
      <c r="A2" s="26" t="s">
        <v>1472</v>
      </c>
    </row>
    <row r="4" spans="1:9" ht="27.95" customHeight="1" x14ac:dyDescent="0.25">
      <c r="A4" s="27" t="s">
        <v>97</v>
      </c>
      <c r="B4" s="27" t="s">
        <v>1473</v>
      </c>
      <c r="C4" s="27" t="s">
        <v>1474</v>
      </c>
      <c r="D4" s="27" t="s">
        <v>1475</v>
      </c>
      <c r="E4" s="27" t="s">
        <v>1476</v>
      </c>
      <c r="F4" s="27" t="s">
        <v>1477</v>
      </c>
      <c r="G4" s="27" t="s">
        <v>1478</v>
      </c>
      <c r="H4" s="27" t="s">
        <v>1479</v>
      </c>
      <c r="I4" s="27" t="s">
        <v>1480</v>
      </c>
    </row>
    <row r="5" spans="1:9" ht="33.950000000000003" customHeight="1" x14ac:dyDescent="0.25">
      <c r="A5" s="28">
        <v>1</v>
      </c>
      <c r="B5" s="29" t="s">
        <v>1481</v>
      </c>
      <c r="C5" s="28" t="s">
        <v>1482</v>
      </c>
      <c r="D5" s="28" t="s">
        <v>1483</v>
      </c>
      <c r="E5" s="28">
        <v>10</v>
      </c>
      <c r="F5" s="30" t="s">
        <v>1484</v>
      </c>
      <c r="G5" s="31" t="s">
        <v>1485</v>
      </c>
      <c r="H5" s="32" t="s">
        <v>1486</v>
      </c>
      <c r="I5" s="31" t="s">
        <v>1487</v>
      </c>
    </row>
    <row r="6" spans="1:9" ht="33.950000000000003" customHeight="1" x14ac:dyDescent="0.25">
      <c r="A6" s="28">
        <v>2</v>
      </c>
      <c r="B6" s="29" t="s">
        <v>1488</v>
      </c>
      <c r="C6" s="28" t="s">
        <v>1489</v>
      </c>
      <c r="D6" s="28" t="s">
        <v>1483</v>
      </c>
      <c r="E6" s="28">
        <v>100</v>
      </c>
      <c r="F6" s="30" t="s">
        <v>1484</v>
      </c>
      <c r="G6" s="31" t="s">
        <v>1490</v>
      </c>
      <c r="H6" s="31"/>
      <c r="I6" s="31" t="s">
        <v>1491</v>
      </c>
    </row>
    <row r="7" spans="1:9" ht="33.950000000000003" customHeight="1" x14ac:dyDescent="0.25">
      <c r="A7" s="28">
        <v>3</v>
      </c>
      <c r="B7" s="29" t="s">
        <v>1492</v>
      </c>
      <c r="C7" s="28" t="s">
        <v>1493</v>
      </c>
      <c r="D7" s="28" t="s">
        <v>1483</v>
      </c>
      <c r="E7" s="28">
        <v>40</v>
      </c>
      <c r="F7" s="30" t="s">
        <v>1484</v>
      </c>
      <c r="G7" s="31" t="s">
        <v>1494</v>
      </c>
      <c r="H7" s="31" t="s">
        <v>1495</v>
      </c>
      <c r="I7" s="31" t="s">
        <v>1496</v>
      </c>
    </row>
    <row r="8" spans="1:9" ht="33.950000000000003" customHeight="1" x14ac:dyDescent="0.25">
      <c r="A8" s="28">
        <v>4</v>
      </c>
      <c r="B8" s="29" t="s">
        <v>1497</v>
      </c>
      <c r="C8" s="28" t="s">
        <v>1498</v>
      </c>
      <c r="D8" s="28" t="s">
        <v>1483</v>
      </c>
      <c r="E8" s="28">
        <v>60</v>
      </c>
      <c r="F8" s="30" t="s">
        <v>1484</v>
      </c>
      <c r="G8" s="31" t="s">
        <v>1499</v>
      </c>
      <c r="H8" s="31" t="s">
        <v>1500</v>
      </c>
      <c r="I8" s="31" t="s">
        <v>1501</v>
      </c>
    </row>
    <row r="9" spans="1:9" ht="33.950000000000003" customHeight="1" x14ac:dyDescent="0.25">
      <c r="A9" s="28">
        <v>5</v>
      </c>
      <c r="B9" s="29" t="s">
        <v>1502</v>
      </c>
      <c r="C9" s="28" t="s">
        <v>1503</v>
      </c>
      <c r="D9" s="28" t="s">
        <v>1483</v>
      </c>
      <c r="E9" s="28">
        <v>30</v>
      </c>
      <c r="F9" s="30" t="s">
        <v>1484</v>
      </c>
      <c r="G9" s="31" t="s">
        <v>1504</v>
      </c>
      <c r="H9" s="31" t="s">
        <v>1505</v>
      </c>
      <c r="I9" s="31" t="s">
        <v>1506</v>
      </c>
    </row>
    <row r="10" spans="1:9" ht="33.950000000000003" customHeight="1" x14ac:dyDescent="0.25">
      <c r="A10" s="28">
        <v>6</v>
      </c>
      <c r="B10" s="29" t="s">
        <v>1507</v>
      </c>
      <c r="C10" s="28" t="s">
        <v>54</v>
      </c>
      <c r="D10" s="28" t="s">
        <v>1483</v>
      </c>
      <c r="E10" s="28">
        <v>60</v>
      </c>
      <c r="F10" s="30" t="s">
        <v>1484</v>
      </c>
      <c r="G10" s="31" t="s">
        <v>1508</v>
      </c>
      <c r="H10" s="31"/>
      <c r="I10" s="31" t="s">
        <v>1509</v>
      </c>
    </row>
    <row r="11" spans="1:9" ht="33.950000000000003" customHeight="1" x14ac:dyDescent="0.25">
      <c r="A11" s="28">
        <v>7</v>
      </c>
      <c r="B11" s="29" t="s">
        <v>1510</v>
      </c>
      <c r="C11" s="28" t="s">
        <v>55</v>
      </c>
      <c r="D11" s="28" t="s">
        <v>1483</v>
      </c>
      <c r="E11" s="28">
        <v>60</v>
      </c>
      <c r="F11" s="30" t="s">
        <v>1484</v>
      </c>
      <c r="G11" s="31" t="s">
        <v>1511</v>
      </c>
      <c r="H11" s="31"/>
      <c r="I11" s="31" t="s">
        <v>1512</v>
      </c>
    </row>
    <row r="12" spans="1:9" ht="33.950000000000003" customHeight="1" x14ac:dyDescent="0.25">
      <c r="A12" s="28">
        <v>8</v>
      </c>
      <c r="B12" s="29" t="s">
        <v>1513</v>
      </c>
      <c r="C12" s="28" t="s">
        <v>1514</v>
      </c>
      <c r="D12" s="28" t="s">
        <v>1418</v>
      </c>
      <c r="E12" s="28" t="s">
        <v>34</v>
      </c>
      <c r="F12" s="30" t="s">
        <v>1484</v>
      </c>
      <c r="G12" s="31" t="s">
        <v>1515</v>
      </c>
      <c r="H12" s="31" t="s">
        <v>1516</v>
      </c>
      <c r="I12" s="31" t="s">
        <v>1517</v>
      </c>
    </row>
    <row r="13" spans="1:9" ht="33.950000000000003" customHeight="1" x14ac:dyDescent="0.25">
      <c r="A13" s="28">
        <v>9</v>
      </c>
      <c r="B13" s="29" t="s">
        <v>1518</v>
      </c>
      <c r="C13" s="28" t="s">
        <v>1519</v>
      </c>
      <c r="D13" s="28" t="s">
        <v>1520</v>
      </c>
      <c r="E13" s="28">
        <v>8</v>
      </c>
      <c r="F13" s="30" t="s">
        <v>1484</v>
      </c>
      <c r="G13" s="31" t="s">
        <v>1521</v>
      </c>
      <c r="H13" s="31" t="s">
        <v>1522</v>
      </c>
      <c r="I13" s="31" t="s">
        <v>1523</v>
      </c>
    </row>
    <row r="14" spans="1:9" ht="33.950000000000003" customHeight="1" x14ac:dyDescent="0.25">
      <c r="A14" s="28">
        <v>10</v>
      </c>
      <c r="B14" s="29" t="s">
        <v>1524</v>
      </c>
      <c r="C14" s="28" t="s">
        <v>1525</v>
      </c>
      <c r="D14" s="28" t="s">
        <v>1520</v>
      </c>
      <c r="E14" s="28">
        <v>8</v>
      </c>
      <c r="F14" s="30" t="s">
        <v>1484</v>
      </c>
      <c r="G14" s="31" t="s">
        <v>1526</v>
      </c>
      <c r="H14" s="31" t="s">
        <v>1527</v>
      </c>
      <c r="I14" s="31" t="s">
        <v>1528</v>
      </c>
    </row>
    <row r="15" spans="1:9" ht="33.950000000000003" customHeight="1" x14ac:dyDescent="0.25">
      <c r="A15" s="28">
        <v>11</v>
      </c>
      <c r="B15" s="29" t="s">
        <v>1529</v>
      </c>
      <c r="C15" s="28" t="s">
        <v>1530</v>
      </c>
      <c r="D15" s="28" t="s">
        <v>1520</v>
      </c>
      <c r="E15" s="28">
        <v>8</v>
      </c>
      <c r="F15" s="30" t="s">
        <v>1484</v>
      </c>
      <c r="G15" s="31" t="s">
        <v>1531</v>
      </c>
      <c r="H15" s="31" t="s">
        <v>1532</v>
      </c>
      <c r="I15" s="31" t="s">
        <v>1533</v>
      </c>
    </row>
    <row r="16" spans="1:9" ht="33.950000000000003" customHeight="1" x14ac:dyDescent="0.25">
      <c r="A16" s="28">
        <v>12</v>
      </c>
      <c r="B16" s="29" t="s">
        <v>1534</v>
      </c>
      <c r="C16" s="28" t="s">
        <v>1535</v>
      </c>
      <c r="D16" s="28" t="s">
        <v>1536</v>
      </c>
      <c r="E16" s="28">
        <v>8</v>
      </c>
      <c r="F16" s="33" t="s">
        <v>1537</v>
      </c>
      <c r="G16" s="31" t="s">
        <v>1538</v>
      </c>
      <c r="H16" s="31" t="s">
        <v>1539</v>
      </c>
      <c r="I16" s="31" t="s">
        <v>1540</v>
      </c>
    </row>
    <row r="17" spans="1:9" ht="33.950000000000003" customHeight="1" x14ac:dyDescent="0.25">
      <c r="A17" s="28">
        <v>13</v>
      </c>
      <c r="B17" s="29" t="s">
        <v>1541</v>
      </c>
      <c r="C17" s="28" t="s">
        <v>1542</v>
      </c>
      <c r="D17" s="28" t="s">
        <v>1536</v>
      </c>
      <c r="E17" s="28">
        <v>8</v>
      </c>
      <c r="F17" s="33" t="s">
        <v>1537</v>
      </c>
      <c r="G17" s="31" t="s">
        <v>1543</v>
      </c>
      <c r="H17" s="31" t="s">
        <v>1544</v>
      </c>
      <c r="I17" s="31" t="s">
        <v>1545</v>
      </c>
    </row>
    <row r="18" spans="1:9" ht="33.950000000000003" customHeight="1" x14ac:dyDescent="0.25">
      <c r="A18" s="28">
        <v>14</v>
      </c>
      <c r="B18" s="29" t="s">
        <v>1546</v>
      </c>
      <c r="C18" s="28" t="s">
        <v>1547</v>
      </c>
      <c r="D18" s="28" t="s">
        <v>1483</v>
      </c>
      <c r="E18" s="28">
        <v>60</v>
      </c>
      <c r="F18" s="33" t="s">
        <v>1537</v>
      </c>
      <c r="G18" s="31" t="s">
        <v>1548</v>
      </c>
      <c r="H18" s="31"/>
      <c r="I18" s="31" t="s">
        <v>1549</v>
      </c>
    </row>
    <row r="19" spans="1:9" ht="33.950000000000003" customHeight="1" x14ac:dyDescent="0.25">
      <c r="A19" s="28">
        <v>15</v>
      </c>
      <c r="B19" s="29" t="s">
        <v>1550</v>
      </c>
      <c r="C19" s="28" t="s">
        <v>1551</v>
      </c>
      <c r="D19" s="28" t="s">
        <v>1483</v>
      </c>
      <c r="E19" s="28">
        <v>60</v>
      </c>
      <c r="F19" s="33" t="s">
        <v>1537</v>
      </c>
      <c r="G19" s="31" t="s">
        <v>1552</v>
      </c>
      <c r="H19" s="31" t="s">
        <v>1553</v>
      </c>
      <c r="I19" s="31" t="s">
        <v>1554</v>
      </c>
    </row>
    <row r="20" spans="1:9" ht="33.950000000000003" customHeight="1" x14ac:dyDescent="0.25">
      <c r="A20" s="28">
        <v>16</v>
      </c>
      <c r="B20" s="29" t="s">
        <v>1555</v>
      </c>
      <c r="C20" s="28" t="s">
        <v>1556</v>
      </c>
      <c r="D20" s="28" t="s">
        <v>1483</v>
      </c>
      <c r="E20" s="28">
        <v>60</v>
      </c>
      <c r="F20" s="33" t="s">
        <v>1537</v>
      </c>
      <c r="G20" s="31" t="s">
        <v>1557</v>
      </c>
      <c r="H20" s="31" t="s">
        <v>1558</v>
      </c>
      <c r="I20" s="31" t="s">
        <v>1559</v>
      </c>
    </row>
    <row r="21" spans="1:9" ht="33.950000000000003" customHeight="1" x14ac:dyDescent="0.25">
      <c r="A21" s="28">
        <v>17</v>
      </c>
      <c r="B21" s="29" t="s">
        <v>1560</v>
      </c>
      <c r="C21" s="28" t="s">
        <v>1561</v>
      </c>
      <c r="D21" s="28" t="s">
        <v>1483</v>
      </c>
      <c r="E21" s="28">
        <v>60</v>
      </c>
      <c r="F21" s="33" t="s">
        <v>1537</v>
      </c>
      <c r="G21" s="31" t="s">
        <v>1562</v>
      </c>
      <c r="H21" s="31" t="s">
        <v>1563</v>
      </c>
      <c r="I21" s="31" t="s">
        <v>1564</v>
      </c>
    </row>
    <row r="22" spans="1:9" ht="33.950000000000003" customHeight="1" x14ac:dyDescent="0.25">
      <c r="A22" s="28">
        <v>18</v>
      </c>
      <c r="B22" s="29" t="s">
        <v>1565</v>
      </c>
      <c r="C22" s="28" t="s">
        <v>1566</v>
      </c>
      <c r="D22" s="28" t="s">
        <v>1483</v>
      </c>
      <c r="E22" s="28">
        <v>60</v>
      </c>
      <c r="F22" s="33" t="s">
        <v>1537</v>
      </c>
      <c r="G22" s="31" t="s">
        <v>1567</v>
      </c>
      <c r="H22" s="31" t="s">
        <v>1568</v>
      </c>
      <c r="I22" s="31" t="s">
        <v>1569</v>
      </c>
    </row>
    <row r="23" spans="1:9" ht="33.950000000000003" customHeight="1" x14ac:dyDescent="0.25">
      <c r="A23" s="28">
        <v>19</v>
      </c>
      <c r="B23" s="29" t="s">
        <v>1570</v>
      </c>
      <c r="C23" s="28" t="s">
        <v>1571</v>
      </c>
      <c r="D23" s="28" t="s">
        <v>1483</v>
      </c>
      <c r="E23" s="28">
        <v>100</v>
      </c>
      <c r="F23" s="33" t="s">
        <v>1537</v>
      </c>
      <c r="G23" s="31" t="s">
        <v>1572</v>
      </c>
      <c r="H23" s="31" t="s">
        <v>1573</v>
      </c>
      <c r="I23" s="31" t="s">
        <v>1574</v>
      </c>
    </row>
    <row r="24" spans="1:9" x14ac:dyDescent="0.25">
      <c r="B24" s="34" t="s">
        <v>1575</v>
      </c>
      <c r="C24" s="34">
        <f>COUNTA(B5:B23)</f>
        <v>19</v>
      </c>
      <c r="F24" s="34">
        <f>COUNTIF(F5:F23,"Si")</f>
        <v>11</v>
      </c>
      <c r="G24" s="35" t="s">
        <v>1576</v>
      </c>
    </row>
    <row r="26" spans="1:9" ht="30" customHeight="1" x14ac:dyDescent="0.25">
      <c r="A26" s="36" t="s">
        <v>1577</v>
      </c>
      <c r="B26" s="48" t="s">
        <v>1578</v>
      </c>
      <c r="C26" s="49"/>
      <c r="D26" s="49"/>
      <c r="E26" s="49"/>
      <c r="F26" s="49"/>
      <c r="G26" s="49"/>
      <c r="H26" s="49"/>
      <c r="I26" s="50"/>
    </row>
  </sheetData>
  <mergeCells count="1"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8" customWidth="1"/>
    <col min="3" max="3" width="14" customWidth="1"/>
    <col min="4" max="4" width="40" customWidth="1"/>
    <col min="5" max="5" width="26" customWidth="1"/>
    <col min="6" max="6" width="74" customWidth="1"/>
  </cols>
  <sheetData>
    <row r="1" spans="1:6" ht="18" x14ac:dyDescent="0.25">
      <c r="A1" s="25" t="s">
        <v>1579</v>
      </c>
    </row>
    <row r="2" spans="1:6" x14ac:dyDescent="0.25">
      <c r="A2" s="26" t="s">
        <v>1580</v>
      </c>
    </row>
    <row r="4" spans="1:6" ht="27.95" customHeight="1" x14ac:dyDescent="0.25">
      <c r="A4" s="27" t="s">
        <v>97</v>
      </c>
      <c r="B4" s="27" t="s">
        <v>1473</v>
      </c>
      <c r="C4" s="27" t="s">
        <v>1581</v>
      </c>
      <c r="D4" s="27" t="s">
        <v>1582</v>
      </c>
      <c r="E4" s="27" t="s">
        <v>1583</v>
      </c>
      <c r="F4" s="27" t="s">
        <v>1584</v>
      </c>
    </row>
    <row r="5" spans="1:6" ht="27.95" customHeight="1" x14ac:dyDescent="0.25">
      <c r="A5" s="28">
        <v>1</v>
      </c>
      <c r="B5" s="29" t="s">
        <v>1482</v>
      </c>
      <c r="C5" s="28" t="s">
        <v>1520</v>
      </c>
      <c r="D5" s="31" t="s">
        <v>1585</v>
      </c>
      <c r="E5" s="28" t="s">
        <v>1481</v>
      </c>
      <c r="F5" s="37" t="s">
        <v>1586</v>
      </c>
    </row>
    <row r="6" spans="1:6" ht="18" customHeight="1" x14ac:dyDescent="0.25">
      <c r="A6" s="28">
        <v>2</v>
      </c>
      <c r="B6" s="29" t="s">
        <v>1489</v>
      </c>
      <c r="C6" s="28" t="s">
        <v>1483</v>
      </c>
      <c r="D6" s="31" t="s">
        <v>1587</v>
      </c>
      <c r="E6" s="28" t="s">
        <v>1488</v>
      </c>
      <c r="F6" s="31"/>
    </row>
    <row r="7" spans="1:6" ht="27.95" customHeight="1" x14ac:dyDescent="0.25">
      <c r="A7" s="28">
        <v>3</v>
      </c>
      <c r="B7" s="29" t="s">
        <v>55</v>
      </c>
      <c r="C7" s="28" t="s">
        <v>1483</v>
      </c>
      <c r="D7" s="31" t="s">
        <v>1588</v>
      </c>
      <c r="E7" s="28" t="s">
        <v>1510</v>
      </c>
      <c r="F7" s="37" t="s">
        <v>1589</v>
      </c>
    </row>
    <row r="8" spans="1:6" ht="27.95" customHeight="1" x14ac:dyDescent="0.25">
      <c r="A8" s="28">
        <v>4</v>
      </c>
      <c r="B8" s="29" t="s">
        <v>1590</v>
      </c>
      <c r="C8" s="28" t="s">
        <v>1520</v>
      </c>
      <c r="D8" s="31" t="s">
        <v>1591</v>
      </c>
      <c r="E8" s="28" t="s">
        <v>1529</v>
      </c>
      <c r="F8" s="31" t="s">
        <v>1592</v>
      </c>
    </row>
    <row r="9" spans="1:6" ht="27.95" customHeight="1" x14ac:dyDescent="0.25">
      <c r="A9" s="28">
        <v>5</v>
      </c>
      <c r="B9" s="29" t="s">
        <v>1593</v>
      </c>
      <c r="C9" s="28" t="s">
        <v>1520</v>
      </c>
      <c r="D9" s="31" t="s">
        <v>1594</v>
      </c>
      <c r="E9" s="28" t="s">
        <v>1524</v>
      </c>
      <c r="F9" s="31" t="s">
        <v>1592</v>
      </c>
    </row>
    <row r="10" spans="1:6" ht="27.95" customHeight="1" x14ac:dyDescent="0.25">
      <c r="A10" s="28">
        <v>6</v>
      </c>
      <c r="B10" s="29" t="s">
        <v>1595</v>
      </c>
      <c r="C10" s="28" t="s">
        <v>1483</v>
      </c>
      <c r="D10" s="31" t="s">
        <v>1596</v>
      </c>
      <c r="E10" s="28" t="s">
        <v>1518</v>
      </c>
      <c r="F10" s="37" t="s">
        <v>1597</v>
      </c>
    </row>
    <row r="11" spans="1:6" ht="27.95" customHeight="1" x14ac:dyDescent="0.25">
      <c r="A11" s="28">
        <v>7</v>
      </c>
      <c r="B11" s="29" t="s">
        <v>1598</v>
      </c>
      <c r="C11" s="28" t="s">
        <v>1520</v>
      </c>
      <c r="D11" s="31" t="s">
        <v>1599</v>
      </c>
      <c r="E11" s="28" t="s">
        <v>34</v>
      </c>
      <c r="F11" s="31" t="s">
        <v>1600</v>
      </c>
    </row>
    <row r="12" spans="1:6" ht="18" customHeight="1" x14ac:dyDescent="0.25">
      <c r="A12" s="28">
        <v>8</v>
      </c>
      <c r="B12" s="29" t="s">
        <v>1601</v>
      </c>
      <c r="C12" s="28" t="s">
        <v>1520</v>
      </c>
      <c r="D12" s="31" t="s">
        <v>1602</v>
      </c>
      <c r="E12" s="28" t="s">
        <v>34</v>
      </c>
      <c r="F12" s="31"/>
    </row>
    <row r="13" spans="1:6" ht="18" customHeight="1" x14ac:dyDescent="0.25">
      <c r="A13" s="28">
        <v>9</v>
      </c>
      <c r="B13" s="29" t="s">
        <v>1603</v>
      </c>
      <c r="C13" s="28" t="s">
        <v>1520</v>
      </c>
      <c r="D13" s="31" t="s">
        <v>1604</v>
      </c>
      <c r="E13" s="28" t="s">
        <v>34</v>
      </c>
      <c r="F13" s="31"/>
    </row>
    <row r="14" spans="1:6" ht="18" customHeight="1" x14ac:dyDescent="0.25">
      <c r="A14" s="28">
        <v>10</v>
      </c>
      <c r="B14" s="29" t="s">
        <v>1605</v>
      </c>
      <c r="C14" s="28" t="s">
        <v>1520</v>
      </c>
      <c r="D14" s="31" t="s">
        <v>1606</v>
      </c>
      <c r="E14" s="28" t="s">
        <v>34</v>
      </c>
      <c r="F14" s="31"/>
    </row>
    <row r="15" spans="1:6" ht="18" customHeight="1" x14ac:dyDescent="0.25">
      <c r="A15" s="28">
        <v>11</v>
      </c>
      <c r="B15" s="29" t="s">
        <v>1607</v>
      </c>
      <c r="C15" s="28" t="s">
        <v>1520</v>
      </c>
      <c r="D15" s="31" t="s">
        <v>1608</v>
      </c>
      <c r="E15" s="28" t="s">
        <v>34</v>
      </c>
      <c r="F15" s="31"/>
    </row>
    <row r="16" spans="1:6" ht="18" customHeight="1" x14ac:dyDescent="0.25">
      <c r="A16" s="28">
        <v>12</v>
      </c>
      <c r="B16" s="29" t="s">
        <v>1609</v>
      </c>
      <c r="C16" s="28" t="s">
        <v>1520</v>
      </c>
      <c r="D16" s="31" t="s">
        <v>1610</v>
      </c>
      <c r="E16" s="28" t="s">
        <v>34</v>
      </c>
      <c r="F16" s="31"/>
    </row>
    <row r="17" spans="1:6" ht="18" customHeight="1" x14ac:dyDescent="0.25">
      <c r="A17" s="28">
        <v>13</v>
      </c>
      <c r="B17" s="29" t="s">
        <v>1611</v>
      </c>
      <c r="C17" s="28" t="s">
        <v>1520</v>
      </c>
      <c r="D17" s="31" t="s">
        <v>1612</v>
      </c>
      <c r="E17" s="28" t="s">
        <v>34</v>
      </c>
      <c r="F17" s="31"/>
    </row>
    <row r="18" spans="1:6" ht="18" customHeight="1" x14ac:dyDescent="0.25">
      <c r="A18" s="28">
        <v>14</v>
      </c>
      <c r="B18" s="29" t="s">
        <v>1613</v>
      </c>
      <c r="C18" s="28" t="s">
        <v>1520</v>
      </c>
      <c r="D18" s="31" t="s">
        <v>1614</v>
      </c>
      <c r="E18" s="28" t="s">
        <v>34</v>
      </c>
      <c r="F18" s="31"/>
    </row>
    <row r="19" spans="1:6" ht="18" customHeight="1" x14ac:dyDescent="0.25">
      <c r="A19" s="28">
        <v>15</v>
      </c>
      <c r="B19" s="29" t="s">
        <v>1615</v>
      </c>
      <c r="C19" s="28" t="s">
        <v>1520</v>
      </c>
      <c r="D19" s="31" t="s">
        <v>1616</v>
      </c>
      <c r="E19" s="28" t="s">
        <v>34</v>
      </c>
      <c r="F19" s="31"/>
    </row>
    <row r="20" spans="1:6" ht="18" customHeight="1" x14ac:dyDescent="0.25">
      <c r="A20" s="28">
        <v>16</v>
      </c>
      <c r="B20" s="29" t="s">
        <v>1617</v>
      </c>
      <c r="C20" s="28" t="s">
        <v>1520</v>
      </c>
      <c r="D20" s="31" t="s">
        <v>1618</v>
      </c>
      <c r="E20" s="28" t="s">
        <v>34</v>
      </c>
      <c r="F20" s="31"/>
    </row>
    <row r="21" spans="1:6" ht="18" customHeight="1" x14ac:dyDescent="0.25">
      <c r="A21" s="28">
        <v>17</v>
      </c>
      <c r="B21" s="29" t="s">
        <v>1619</v>
      </c>
      <c r="C21" s="28" t="s">
        <v>1520</v>
      </c>
      <c r="D21" s="31" t="s">
        <v>1620</v>
      </c>
      <c r="E21" s="28" t="s">
        <v>34</v>
      </c>
      <c r="F21" s="31"/>
    </row>
    <row r="22" spans="1:6" ht="18" customHeight="1" x14ac:dyDescent="0.25">
      <c r="A22" s="28">
        <v>18</v>
      </c>
      <c r="B22" s="29" t="s">
        <v>1621</v>
      </c>
      <c r="C22" s="28" t="s">
        <v>1520</v>
      </c>
      <c r="D22" s="31" t="s">
        <v>1622</v>
      </c>
      <c r="E22" s="28" t="s">
        <v>34</v>
      </c>
      <c r="F22" s="31"/>
    </row>
    <row r="23" spans="1:6" ht="27.95" customHeight="1" x14ac:dyDescent="0.25">
      <c r="A23" s="28">
        <v>19</v>
      </c>
      <c r="B23" s="29" t="s">
        <v>1623</v>
      </c>
      <c r="C23" s="28" t="s">
        <v>1520</v>
      </c>
      <c r="D23" s="31" t="s">
        <v>1624</v>
      </c>
      <c r="E23" s="28" t="s">
        <v>34</v>
      </c>
      <c r="F23" s="31" t="s">
        <v>1625</v>
      </c>
    </row>
    <row r="24" spans="1:6" x14ac:dyDescent="0.25">
      <c r="B24" s="34" t="s">
        <v>1262</v>
      </c>
      <c r="C24" s="34">
        <f>COUNTA(B5:B23)</f>
        <v>19</v>
      </c>
      <c r="D24" s="35" t="s">
        <v>1626</v>
      </c>
      <c r="E24" s="38">
        <f>COUNTIF(F5:F23,"PROBLEMA*")</f>
        <v>3</v>
      </c>
    </row>
    <row r="26" spans="1:6" ht="44.1" customHeight="1" x14ac:dyDescent="0.25">
      <c r="A26" s="39" t="s">
        <v>1627</v>
      </c>
      <c r="B26" s="48" t="s">
        <v>1628</v>
      </c>
      <c r="C26" s="49"/>
      <c r="D26" s="49"/>
      <c r="E26" s="49"/>
      <c r="F26" s="50"/>
    </row>
  </sheetData>
  <mergeCells count="1">
    <mergeCell ref="B26:F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workbookViewId="0"/>
  </sheetViews>
  <sheetFormatPr baseColWidth="10" defaultColWidth="9.140625" defaultRowHeight="15" x14ac:dyDescent="0.25"/>
  <cols>
    <col min="1" max="1" width="26" customWidth="1"/>
    <col min="2" max="2" width="30" customWidth="1"/>
    <col min="3" max="3" width="40" customWidth="1"/>
    <col min="4" max="4" width="78" customWidth="1"/>
  </cols>
  <sheetData>
    <row r="1" spans="1:4" ht="18" x14ac:dyDescent="0.25">
      <c r="A1" s="25" t="s">
        <v>1629</v>
      </c>
    </row>
    <row r="2" spans="1:4" x14ac:dyDescent="0.25">
      <c r="A2" s="26" t="s">
        <v>1630</v>
      </c>
    </row>
    <row r="4" spans="1:4" ht="27.95" customHeight="1" x14ac:dyDescent="0.25">
      <c r="A4" s="27" t="s">
        <v>1473</v>
      </c>
      <c r="B4" s="27" t="s">
        <v>1631</v>
      </c>
      <c r="C4" s="27" t="s">
        <v>1632</v>
      </c>
      <c r="D4" s="27" t="s">
        <v>1633</v>
      </c>
    </row>
    <row r="5" spans="1:4" ht="30" customHeight="1" x14ac:dyDescent="0.25">
      <c r="A5" s="29" t="s">
        <v>1482</v>
      </c>
      <c r="B5" s="40" t="s">
        <v>1634</v>
      </c>
      <c r="C5" s="28" t="s">
        <v>1487</v>
      </c>
      <c r="D5" s="32" t="s">
        <v>1635</v>
      </c>
    </row>
    <row r="6" spans="1:4" ht="30" customHeight="1" x14ac:dyDescent="0.25">
      <c r="A6" s="29" t="s">
        <v>1489</v>
      </c>
      <c r="B6" s="28" t="s">
        <v>1636</v>
      </c>
      <c r="C6" s="28" t="s">
        <v>1637</v>
      </c>
      <c r="D6" s="41" t="s">
        <v>1638</v>
      </c>
    </row>
    <row r="7" spans="1:4" ht="30" customHeight="1" x14ac:dyDescent="0.25">
      <c r="A7" s="29" t="s">
        <v>55</v>
      </c>
      <c r="B7" s="40" t="s">
        <v>1639</v>
      </c>
      <c r="C7" s="28" t="s">
        <v>1512</v>
      </c>
      <c r="D7" s="32" t="s">
        <v>1640</v>
      </c>
    </row>
    <row r="8" spans="1:4" ht="30" customHeight="1" x14ac:dyDescent="0.25">
      <c r="A8" s="29" t="s">
        <v>1590</v>
      </c>
      <c r="B8" s="28" t="s">
        <v>1641</v>
      </c>
      <c r="C8" s="28" t="s">
        <v>1642</v>
      </c>
      <c r="D8" s="41" t="s">
        <v>1643</v>
      </c>
    </row>
    <row r="9" spans="1:4" ht="30" customHeight="1" x14ac:dyDescent="0.25">
      <c r="A9" s="29" t="s">
        <v>1593</v>
      </c>
      <c r="B9" s="28" t="s">
        <v>1644</v>
      </c>
      <c r="C9" s="28" t="s">
        <v>1645</v>
      </c>
      <c r="D9" s="41" t="s">
        <v>1643</v>
      </c>
    </row>
    <row r="10" spans="1:4" ht="30" customHeight="1" x14ac:dyDescent="0.25">
      <c r="A10" s="29" t="s">
        <v>1646</v>
      </c>
      <c r="B10" s="28" t="s">
        <v>1647</v>
      </c>
      <c r="C10" s="28" t="s">
        <v>1648</v>
      </c>
      <c r="D10" s="32" t="s">
        <v>1649</v>
      </c>
    </row>
    <row r="11" spans="1:4" ht="30" customHeight="1" x14ac:dyDescent="0.25">
      <c r="A11" s="29" t="s">
        <v>1493</v>
      </c>
      <c r="B11" s="42" t="s">
        <v>1650</v>
      </c>
      <c r="C11" s="28" t="s">
        <v>1651</v>
      </c>
      <c r="D11" s="32" t="s">
        <v>1652</v>
      </c>
    </row>
    <row r="12" spans="1:4" ht="30" customHeight="1" x14ac:dyDescent="0.25">
      <c r="A12" s="29" t="s">
        <v>1498</v>
      </c>
      <c r="B12" s="42" t="s">
        <v>1650</v>
      </c>
      <c r="C12" s="28" t="s">
        <v>1653</v>
      </c>
      <c r="D12" s="32" t="s">
        <v>1654</v>
      </c>
    </row>
    <row r="13" spans="1:4" ht="30" customHeight="1" x14ac:dyDescent="0.25">
      <c r="A13" s="29" t="s">
        <v>1503</v>
      </c>
      <c r="B13" s="42" t="s">
        <v>1650</v>
      </c>
      <c r="C13" s="28" t="s">
        <v>1506</v>
      </c>
      <c r="D13" s="32" t="s">
        <v>1655</v>
      </c>
    </row>
    <row r="14" spans="1:4" ht="30" customHeight="1" x14ac:dyDescent="0.25">
      <c r="A14" s="29" t="s">
        <v>1551</v>
      </c>
      <c r="B14" s="42" t="s">
        <v>1650</v>
      </c>
      <c r="C14" s="28" t="s">
        <v>1554</v>
      </c>
      <c r="D14" s="32" t="s">
        <v>1654</v>
      </c>
    </row>
    <row r="15" spans="1:4" ht="30" customHeight="1" x14ac:dyDescent="0.25">
      <c r="A15" s="29" t="s">
        <v>1566</v>
      </c>
      <c r="B15" s="42" t="s">
        <v>1650</v>
      </c>
      <c r="C15" s="28" t="s">
        <v>1656</v>
      </c>
      <c r="D15" s="32" t="s">
        <v>1657</v>
      </c>
    </row>
    <row r="16" spans="1:4" ht="30" customHeight="1" x14ac:dyDescent="0.25">
      <c r="A16" s="29" t="s">
        <v>1571</v>
      </c>
      <c r="B16" s="42" t="s">
        <v>1650</v>
      </c>
      <c r="C16" s="28" t="s">
        <v>1658</v>
      </c>
      <c r="D16" s="32" t="s">
        <v>1654</v>
      </c>
    </row>
    <row r="17" spans="1:4" ht="30" customHeight="1" x14ac:dyDescent="0.25">
      <c r="A17" s="29" t="s">
        <v>1659</v>
      </c>
      <c r="B17" s="42" t="s">
        <v>1650</v>
      </c>
      <c r="C17" s="28" t="s">
        <v>1540</v>
      </c>
      <c r="D17" s="32" t="s">
        <v>1654</v>
      </c>
    </row>
    <row r="18" spans="1:4" x14ac:dyDescent="0.25">
      <c r="A18" s="36" t="s">
        <v>1660</v>
      </c>
      <c r="B18" s="29">
        <f>COUNTA(A5:A17)</f>
        <v>13</v>
      </c>
    </row>
    <row r="19" spans="1:4" x14ac:dyDescent="0.25">
      <c r="A19" s="36" t="s">
        <v>1661</v>
      </c>
      <c r="B19" s="30">
        <f>COUNTIF(B5:B17,"(no esta)*")</f>
        <v>7</v>
      </c>
    </row>
    <row r="20" spans="1:4" x14ac:dyDescent="0.25">
      <c r="A20" s="36" t="s">
        <v>1662</v>
      </c>
      <c r="B20" s="43">
        <f>COUNTIF(D5:D17,"Coincide*")</f>
        <v>3</v>
      </c>
    </row>
    <row r="22" spans="1:4" x14ac:dyDescent="0.25">
      <c r="A22" s="39" t="s">
        <v>1663</v>
      </c>
    </row>
    <row r="23" spans="1:4" ht="32.1" customHeight="1" x14ac:dyDescent="0.25">
      <c r="A23" s="28" t="s">
        <v>34</v>
      </c>
      <c r="B23" s="48" t="s">
        <v>1664</v>
      </c>
      <c r="C23" s="49"/>
      <c r="D23" s="50"/>
    </row>
    <row r="24" spans="1:4" ht="32.1" customHeight="1" x14ac:dyDescent="0.25">
      <c r="A24" s="28" t="s">
        <v>34</v>
      </c>
      <c r="B24" s="48" t="s">
        <v>1665</v>
      </c>
      <c r="C24" s="49"/>
      <c r="D24" s="50"/>
    </row>
    <row r="25" spans="1:4" ht="32.1" customHeight="1" x14ac:dyDescent="0.25">
      <c r="A25" s="28" t="s">
        <v>34</v>
      </c>
      <c r="B25" s="48" t="s">
        <v>1666</v>
      </c>
      <c r="C25" s="49"/>
      <c r="D25" s="50"/>
    </row>
    <row r="26" spans="1:4" ht="32.1" customHeight="1" x14ac:dyDescent="0.25">
      <c r="A26" s="28" t="s">
        <v>34</v>
      </c>
      <c r="B26" s="48" t="s">
        <v>1667</v>
      </c>
      <c r="C26" s="49"/>
      <c r="D26" s="50"/>
    </row>
    <row r="27" spans="1:4" ht="32.1" customHeight="1" x14ac:dyDescent="0.25">
      <c r="A27" s="28" t="s">
        <v>34</v>
      </c>
      <c r="B27" s="48" t="s">
        <v>1668</v>
      </c>
      <c r="C27" s="49"/>
      <c r="D27" s="50"/>
    </row>
    <row r="29" spans="1:4" ht="27.95" customHeight="1" x14ac:dyDescent="0.25">
      <c r="A29" s="36" t="s">
        <v>1577</v>
      </c>
      <c r="B29" s="48" t="s">
        <v>1578</v>
      </c>
      <c r="C29" s="49"/>
      <c r="D29" s="50"/>
    </row>
  </sheetData>
  <mergeCells count="6">
    <mergeCell ref="B23:D23"/>
    <mergeCell ref="B26:D26"/>
    <mergeCell ref="B27:D27"/>
    <mergeCell ref="B29:D29"/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Leeme</vt:lpstr>
      <vt:lpstr>Plantilla DwC</vt:lpstr>
      <vt:lpstr>Mapeo DwC</vt:lpstr>
      <vt:lpstr>Cambios DwC</vt:lpstr>
      <vt:lpstr>Resumen entregables</vt:lpstr>
      <vt:lpstr>Inventario</vt:lpstr>
      <vt:lpstr>Diccionarios</vt:lpstr>
      <vt:lpstr>Capas documentadas</vt:lpstr>
      <vt:lpstr>Capas en la GDB</vt:lpstr>
      <vt:lpstr>Dicc. Estaciones IDEAM</vt:lpstr>
      <vt:lpstr>Red_Hidrometeorologica</vt:lpstr>
      <vt:lpstr>Cotejo IDEAM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2026-09-04T22:46:23Z</dcterms:created>
  <dcterms:modified xsi:type="dcterms:W3CDTF">2026-09-04T23:00:45Z</dcterms:modified>
</cp:coreProperties>
</file>